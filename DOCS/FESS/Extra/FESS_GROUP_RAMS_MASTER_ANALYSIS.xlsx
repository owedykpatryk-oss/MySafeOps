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Summary" sheetId="3" state="visible" r:id="rId3"/>
    <sheet xmlns:r="http://schemas.openxmlformats.org/officeDocument/2006/relationships" name="Beyond FESS - Multi-Client" sheetId="4" state="visible" r:id="rId4"/>
    <sheet xmlns:r="http://schemas.openxmlformats.org/officeDocument/2006/relationships" name="Cursor Implementation Spec" sheetId="5" state="visible" r:id="rId5"/>
    <sheet xmlns:r="http://schemas.openxmlformats.org/officeDocument/2006/relationships" name="Services Coverage Map" sheetId="6" state="visible" r:id="rId6"/>
    <sheet xmlns:r="http://schemas.openxmlformats.org/officeDocument/2006/relationships" name="Industries Coverage Map" sheetId="7" state="visible" r:id="rId7"/>
    <sheet xmlns:r="http://schemas.openxmlformats.org/officeDocument/2006/relationships" name="Service x Hazard Matrix" sheetId="8" state="visible" r:id="rId8"/>
    <sheet xmlns:r="http://schemas.openxmlformats.org/officeDocument/2006/relationships" name="Master Hazard Register" sheetId="9" state="visible" r:id="rId9"/>
    <sheet xmlns:r="http://schemas.openxmlformats.org/officeDocument/2006/relationships" name="Hazard Gap Register" sheetId="10" state="visible" r:id="rId10"/>
    <sheet xmlns:r="http://schemas.openxmlformats.org/officeDocument/2006/relationships" name="New RA Rows - Ready to Paste" sheetId="11" state="visible" r:id="rId11"/>
    <sheet xmlns:r="http://schemas.openxmlformats.org/officeDocument/2006/relationships" name="Pet Food Production Hazards" sheetId="12" state="visible" r:id="rId12"/>
    <sheet xmlns:r="http://schemas.openxmlformats.org/officeDocument/2006/relationships" name="Food Production Line Hazards" sheetId="13" state="visible" r:id="rId13"/>
    <sheet xmlns:r="http://schemas.openxmlformats.org/officeDocument/2006/relationships" name="Warehousing &amp; Logistics" sheetId="14" state="visible" r:id="rId14"/>
    <sheet xmlns:r="http://schemas.openxmlformats.org/officeDocument/2006/relationships" name="General Manufacturing" sheetId="15" state="visible" r:id="rId15"/>
    <sheet xmlns:r="http://schemas.openxmlformats.org/officeDocument/2006/relationships" name="Waste &amp; Recycling" sheetId="16" state="visible" r:id="rId16"/>
    <sheet xmlns:r="http://schemas.openxmlformats.org/officeDocument/2006/relationships" name="Renewable Energy" sheetId="17" state="visible" r:id="rId17"/>
    <sheet xmlns:r="http://schemas.openxmlformats.org/officeDocument/2006/relationships" name="Survey &amp; Drone Operations" sheetId="18" state="visible" r:id="rId18"/>
    <sheet xmlns:r="http://schemas.openxmlformats.org/officeDocument/2006/relationships" name="Legislation &amp; Standards" sheetId="19" state="visible" r:id="rId19"/>
    <sheet xmlns:r="http://schemas.openxmlformats.org/officeDocument/2006/relationships" name="COSHH Register" sheetId="20" state="visible" r:id="rId20"/>
    <sheet xmlns:r="http://schemas.openxmlformats.org/officeDocument/2006/relationships" name="Permits Register" sheetId="21" state="visible" r:id="rId21"/>
    <sheet xmlns:r="http://schemas.openxmlformats.org/officeDocument/2006/relationships" name="Statutory Inspections" sheetId="22" state="visible" r:id="rId22"/>
    <sheet xmlns:r="http://schemas.openxmlformats.org/officeDocument/2006/relationships" name="RIDDOR Quick Reference" sheetId="23" state="visible" r:id="rId23"/>
    <sheet xmlns:r="http://schemas.openxmlformats.org/officeDocument/2006/relationships" name="Toolbox Talk Topics" sheetId="24" state="visible" r:id="rId24"/>
    <sheet xmlns:r="http://schemas.openxmlformats.org/officeDocument/2006/relationships" name="Training &amp; Competency" sheetId="25" state="visible" r:id="rId25"/>
    <sheet xmlns:r="http://schemas.openxmlformats.org/officeDocument/2006/relationships" name="Personnel Competency Tracker" sheetId="26" state="visible" r:id="rId26"/>
    <sheet xmlns:r="http://schemas.openxmlformats.org/officeDocument/2006/relationships" name="Site &amp; Emergency Info" sheetId="27" state="visible" r:id="rId27"/>
    <sheet xmlns:r="http://schemas.openxmlformats.org/officeDocument/2006/relationships" name="PPE Matrix" sheetId="28" state="visible" r:id="rId28"/>
    <sheet xmlns:r="http://schemas.openxmlformats.org/officeDocument/2006/relationships" name="Risk Scoring Matrix" sheetId="29" state="visible" r:id="rId29"/>
    <sheet xmlns:r="http://schemas.openxmlformats.org/officeDocument/2006/relationships" name="Document Quality Issues" sheetId="30" state="visible" r:id="rId30"/>
    <sheet xmlns:r="http://schemas.openxmlformats.org/officeDocument/2006/relationships" name="Action Roadmap" sheetId="31" state="visible" r:id="rId31"/>
    <sheet xmlns:r="http://schemas.openxmlformats.org/officeDocument/2006/relationships" name="Document Index" sheetId="32" state="visible" r:id="rId32"/>
  </sheets>
  <definedNames>
    <definedName name="_xlnm._FilterDatabase" localSheetId="5" hidden="1">'Services Coverage Map'!$A$4:$G$27</definedName>
    <definedName name="_xlnm._FilterDatabase" localSheetId="8" hidden="1">'Master Hazard Register'!$A$1:$I$28</definedName>
    <definedName name="_xlnm._FilterDatabase" localSheetId="9" hidden="1">'Hazard Gap Register'!$A$4:$F$31</definedName>
    <definedName name="_xlnm._FilterDatabase" localSheetId="10" hidden="1">'New RA Rows - Ready to Paste'!$A$4:$J$31</definedName>
    <definedName name="_xlnm._FilterDatabase" localSheetId="11" hidden="1">'Pet Food Production Hazards'!$A$4:$E$15</definedName>
    <definedName name="_xlnm._FilterDatabase" localSheetId="12" hidden="1">'Food Production Line Hazards'!$A$4:$D$18</definedName>
    <definedName name="_xlnm._FilterDatabase" localSheetId="13" hidden="1">'Warehousing &amp; Logistics'!$A$4:$E$14</definedName>
    <definedName name="_xlnm._FilterDatabase" localSheetId="14" hidden="1">'General Manufacturing'!$A$4:$D$15</definedName>
    <definedName name="_xlnm._FilterDatabase" localSheetId="15" hidden="1">'Waste &amp; Recycling'!$A$4:$D$13</definedName>
    <definedName name="_xlnm._FilterDatabase" localSheetId="16" hidden="1">'Renewable Energy'!$A$4:$D$12</definedName>
    <definedName name="_xlnm._FilterDatabase" localSheetId="17" hidden="1">'Survey &amp; Drone Operations'!$A$4:$D$19</definedName>
    <definedName name="_xlnm._FilterDatabase" localSheetId="18" hidden="1">'Legislation &amp; Standards'!$A$4:$C$24</definedName>
    <definedName name="_xlnm._FilterDatabase" localSheetId="19" hidden="1">'COSHH Register'!$A$4:$K$13</definedName>
    <definedName name="_xlnm._FilterDatabase" localSheetId="20" hidden="1">'Permits Register'!$A$4:$H$14</definedName>
    <definedName name="_xlnm._FilterDatabase" localSheetId="21" hidden="1">'Statutory Inspections'!$A$4:$E$17</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DM Sans"/>
      <b val="1"/>
      <color rgb="00FFFFFF"/>
      <sz val="11"/>
    </font>
    <font>
      <name val="DM Sans"/>
      <sz val="10"/>
    </font>
    <font>
      <name val="DM Sans"/>
      <b val="1"/>
      <color rgb="000F172A"/>
      <sz val="14"/>
    </font>
    <font>
      <name val="DM Sans"/>
      <b val="1"/>
      <sz val="10"/>
    </font>
    <font>
      <name val="DM Sans"/>
      <b val="1"/>
      <color rgb="000F172A"/>
      <sz val="16"/>
    </font>
    <font>
      <name val="DM Sans"/>
      <i val="1"/>
      <color rgb="00555555"/>
      <sz val="10"/>
    </font>
    <font>
      <name val="DM Sans"/>
      <b val="1"/>
      <color rgb="00B91C1C"/>
      <sz val="10"/>
    </font>
    <font>
      <name val="DM Sans"/>
      <b val="1"/>
      <color rgb="00C2410C"/>
      <sz val="10"/>
    </font>
    <font>
      <name val="DM Sans"/>
      <b val="1"/>
      <color rgb="0015803D"/>
      <sz val="10"/>
    </font>
    <font>
      <name val="DM Sans"/>
      <b val="1"/>
      <color rgb="000D9488"/>
      <sz val="12"/>
    </font>
    <font>
      <name val="DM Sans"/>
      <b val="1"/>
      <color rgb="000F172A"/>
      <sz val="13"/>
    </font>
    <font>
      <name val="DM Sans"/>
      <b val="1"/>
      <color rgb="000F172A"/>
      <sz val="26"/>
    </font>
    <font>
      <name val="DM Sans"/>
      <color rgb="000D9488"/>
      <sz val="16"/>
    </font>
    <font>
      <name val="DM Sans"/>
      <i val="1"/>
      <color rgb="00555555"/>
      <sz val="11"/>
    </font>
    <font>
      <name val="DM Sans"/>
      <b val="1"/>
      <color rgb="000D9488"/>
      <sz val="11"/>
      <u val="single"/>
    </font>
    <font>
      <name val="DM Sans"/>
      <b val="1"/>
      <color rgb="000F172A"/>
      <sz val="20"/>
    </font>
    <font>
      <name val="DM Sans"/>
      <b val="1"/>
      <color rgb="000D9488"/>
      <sz val="24"/>
    </font>
    <font>
      <name val="DM Sans"/>
      <color rgb="00555555"/>
      <sz val="9"/>
    </font>
    <font>
      <name val="DM Sans"/>
      <b val="1"/>
      <color rgb="00B91C1C"/>
      <sz val="24"/>
    </font>
    <font>
      <name val="DM Sans"/>
      <b val="1"/>
      <color rgb="000F172A"/>
      <sz val="12"/>
    </font>
    <font>
      <name val="DM Sans"/>
      <b val="1"/>
      <color rgb="000F172A"/>
      <sz val="11"/>
    </font>
    <font>
      <name val="Consolas"/>
      <color rgb="000F172A"/>
      <sz val="9"/>
    </font>
  </fonts>
  <fills count="15">
    <fill>
      <patternFill/>
    </fill>
    <fill>
      <patternFill patternType="gray125"/>
    </fill>
    <fill>
      <patternFill patternType="solid">
        <fgColor rgb="000D9488"/>
      </patternFill>
    </fill>
    <fill>
      <patternFill patternType="solid">
        <fgColor rgb="00FFF9E6"/>
      </patternFill>
    </fill>
    <fill>
      <patternFill patternType="solid">
        <fgColor rgb="00FFE5E5"/>
      </patternFill>
    </fill>
    <fill>
      <patternFill patternType="solid">
        <fgColor rgb="00F97316"/>
      </patternFill>
    </fill>
    <fill>
      <patternFill patternType="solid">
        <fgColor rgb="00FFFFFF"/>
      </patternFill>
    </fill>
    <fill>
      <patternFill patternType="solid">
        <fgColor rgb="00FFF3E6"/>
      </patternFill>
    </fill>
    <fill>
      <patternFill patternType="solid">
        <fgColor rgb="00E6F7F5"/>
      </patternFill>
    </fill>
    <fill>
      <patternFill patternType="solid">
        <fgColor rgb="00FFE1E1"/>
      </patternFill>
    </fill>
    <fill>
      <patternFill patternType="solid">
        <fgColor rgb="00F2F2F2"/>
      </patternFill>
    </fill>
    <fill>
      <patternFill patternType="solid">
        <fgColor rgb="00E2F7E1"/>
      </patternFill>
    </fill>
    <fill>
      <patternFill patternType="solid">
        <fgColor rgb="000F172A"/>
      </patternFill>
    </fill>
    <fill>
      <patternFill patternType="solid">
        <fgColor rgb="00F0E6FA"/>
      </patternFill>
    </fill>
    <fill>
      <patternFill patternType="solid">
        <fgColor rgb="00E6F0FA"/>
      </patternFill>
    </fill>
  </fills>
  <borders count="10">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style="thin">
        <color rgb="00CCCCCC"/>
      </left>
      <right/>
      <top/>
      <bottom/>
      <diagonal/>
    </border>
    <border>
      <left/>
      <right style="thin">
        <color rgb="00CCCCCC"/>
      </right>
      <top/>
      <bottom/>
      <diagonal/>
    </border>
    <border>
      <left style="thin">
        <color rgb="00CCCCCC"/>
      </left>
      <right/>
      <top/>
      <bottom style="thin">
        <color rgb="00CCCCCC"/>
      </bottom>
      <diagonal/>
    </border>
    <border>
      <left/>
      <right style="thin">
        <color rgb="00CCCCCC"/>
      </right>
      <top/>
      <bottom style="thin">
        <color rgb="00CCCCCC"/>
      </bottom>
      <diagonal/>
    </border>
    <border>
      <left/>
      <right/>
      <top style="thin">
        <color rgb="00CCCCCC"/>
      </top>
      <bottom style="thin">
        <color rgb="00CCCCCC"/>
      </bottom>
      <diagonal/>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vertical="center"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pivotButton="0" quotePrefix="0" xfId="0"/>
    <xf numFmtId="0" fontId="4" fillId="0" borderId="0" pivotButton="0" quotePrefix="0" xfId="0"/>
    <xf numFmtId="0" fontId="0" fillId="4" borderId="0" pivotButton="0" quotePrefix="0" xfId="0"/>
    <xf numFmtId="0" fontId="0" fillId="3" borderId="0" pivotButton="0" quotePrefix="0" xfId="0"/>
    <xf numFmtId="0" fontId="0" fillId="8" borderId="0" pivotButton="0" quotePrefix="0" xfId="0"/>
    <xf numFmtId="0" fontId="4" fillId="0" borderId="1" pivotButton="0" quotePrefix="0" xfId="0"/>
    <xf numFmtId="0" fontId="2" fillId="0" borderId="1" applyAlignment="1" pivotButton="0" quotePrefix="0" xfId="0">
      <alignment wrapText="1"/>
    </xf>
    <xf numFmtId="0" fontId="11" fillId="0" borderId="0" pivotButton="0" quotePrefix="0" xfId="0"/>
    <xf numFmtId="0" fontId="2" fillId="0" borderId="1" pivotButton="0" quotePrefix="0" xfId="0"/>
    <xf numFmtId="0" fontId="5" fillId="0" borderId="0" pivotButton="0" quotePrefix="0" xfId="0"/>
    <xf numFmtId="0" fontId="6" fillId="0" borderId="0" pivotButton="0" quotePrefix="0" xfId="0"/>
    <xf numFmtId="0" fontId="2" fillId="9" borderId="1" applyAlignment="1" pivotButton="0" quotePrefix="0" xfId="0">
      <alignment vertical="top" wrapText="1"/>
    </xf>
    <xf numFmtId="0" fontId="7" fillId="9" borderId="1" applyAlignment="1" pivotButton="0" quotePrefix="0" xfId="0">
      <alignment horizontal="center" vertical="center" wrapText="1"/>
    </xf>
    <xf numFmtId="0" fontId="7" fillId="9" borderId="1" applyAlignment="1" pivotButton="0" quotePrefix="0" xfId="0">
      <alignment horizontal="center" vertical="center"/>
    </xf>
    <xf numFmtId="0" fontId="8" fillId="3" borderId="1" applyAlignment="1" pivotButton="0" quotePrefix="0" xfId="0">
      <alignment horizontal="center" vertical="center" wrapText="1"/>
    </xf>
    <xf numFmtId="0" fontId="8" fillId="3" borderId="1" applyAlignment="1" pivotButton="0" quotePrefix="0" xfId="0">
      <alignment horizontal="center" vertical="center"/>
    </xf>
    <xf numFmtId="0" fontId="2" fillId="10" borderId="1" applyAlignment="1" pivotButton="0" quotePrefix="0" xfId="0">
      <alignment vertical="top" wrapText="1"/>
    </xf>
    <xf numFmtId="0" fontId="4" fillId="10" borderId="1" applyAlignment="1" pivotButton="0" quotePrefix="0" xfId="0">
      <alignment horizontal="center" vertical="center" wrapText="1"/>
    </xf>
    <xf numFmtId="0" fontId="2" fillId="10" borderId="1" applyAlignment="1" pivotButton="0" quotePrefix="0" xfId="0">
      <alignment horizontal="center" vertical="center"/>
    </xf>
    <xf numFmtId="0" fontId="7" fillId="3" borderId="1" applyAlignment="1" pivotButton="0" quotePrefix="0" xfId="0">
      <alignment horizontal="center" vertical="center"/>
    </xf>
    <xf numFmtId="0" fontId="2" fillId="11" borderId="1" applyAlignment="1" pivotButton="0" quotePrefix="0" xfId="0">
      <alignment vertical="top" wrapText="1"/>
    </xf>
    <xf numFmtId="0" fontId="9" fillId="11" borderId="1" applyAlignment="1" pivotButton="0" quotePrefix="0" xfId="0">
      <alignment horizontal="center" vertical="center" wrapText="1"/>
    </xf>
    <xf numFmtId="0" fontId="2" fillId="11" borderId="1" applyAlignment="1" pivotButton="0" quotePrefix="0" xfId="0">
      <alignment horizontal="center" vertical="center"/>
    </xf>
    <xf numFmtId="0" fontId="8" fillId="9" borderId="1" applyAlignment="1" pivotButton="0" quotePrefix="0" xfId="0">
      <alignment horizontal="center" vertical="center"/>
    </xf>
    <xf numFmtId="0" fontId="2" fillId="9" borderId="1" applyAlignment="1" pivotButton="0" quotePrefix="0" xfId="0">
      <alignment horizontal="center" vertical="center"/>
    </xf>
    <xf numFmtId="0" fontId="2" fillId="3" borderId="1" applyAlignment="1" pivotButton="0" quotePrefix="0" xfId="0">
      <alignment horizontal="center" vertical="center"/>
    </xf>
    <xf numFmtId="0" fontId="9" fillId="8" borderId="1" applyAlignment="1" pivotButton="0" quotePrefix="0" xfId="0">
      <alignment horizontal="center" vertical="center"/>
    </xf>
    <xf numFmtId="0" fontId="9" fillId="11" borderId="1" applyAlignment="1" pivotButton="0" quotePrefix="0" xfId="0">
      <alignment horizontal="center" vertical="center"/>
    </xf>
    <xf numFmtId="0" fontId="4" fillId="10" borderId="1" applyAlignment="1" pivotButton="0" quotePrefix="0" xfId="0">
      <alignment horizontal="center" vertical="center"/>
    </xf>
    <xf numFmtId="0" fontId="8" fillId="3" borderId="1" applyAlignment="1" pivotButton="0" quotePrefix="0" xfId="0">
      <alignment vertical="top" wrapText="1"/>
    </xf>
    <xf numFmtId="0" fontId="7" fillId="9" borderId="1" applyAlignment="1" pivotButton="0" quotePrefix="0" xfId="0">
      <alignment vertical="top" wrapText="1"/>
    </xf>
    <xf numFmtId="0" fontId="2" fillId="3" borderId="1" applyAlignment="1" pivotButton="0" quotePrefix="0" xfId="0">
      <alignment horizontal="center" vertical="center" wrapText="1"/>
    </xf>
    <xf numFmtId="0" fontId="2" fillId="8" borderId="1" applyAlignment="1" pivotButton="0" quotePrefix="0" xfId="0">
      <alignment horizontal="center" vertical="center" wrapText="1"/>
    </xf>
    <xf numFmtId="0" fontId="9" fillId="11" borderId="1" applyAlignment="1" pivotButton="0" quotePrefix="0" xfId="0">
      <alignment vertical="top" wrapText="1"/>
    </xf>
    <xf numFmtId="0" fontId="9" fillId="8" borderId="1" applyAlignment="1" pivotButton="0" quotePrefix="0" xfId="0">
      <alignment vertical="top" wrapText="1"/>
    </xf>
    <xf numFmtId="0" fontId="8"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4" fillId="8" borderId="1" applyAlignment="1" pivotButton="0" quotePrefix="0" xfId="0">
      <alignment vertical="center"/>
    </xf>
    <xf numFmtId="0" fontId="0" fillId="6" borderId="1" applyAlignment="1" pivotButton="0" quotePrefix="0" xfId="0">
      <alignment horizontal="center" vertical="center"/>
    </xf>
    <xf numFmtId="0" fontId="12" fillId="0" borderId="0" pivotButton="0" quotePrefix="0" xfId="0"/>
    <xf numFmtId="0" fontId="13" fillId="0" borderId="0" pivotButton="0" quotePrefix="0" xfId="0"/>
    <xf numFmtId="0" fontId="14" fillId="0" borderId="0" pivotButton="0" quotePrefix="0" xfId="0"/>
    <xf numFmtId="0" fontId="0" fillId="2" borderId="0" pivotButton="0" quotePrefix="0" xfId="0"/>
    <xf numFmtId="0" fontId="15" fillId="0" borderId="0" pivotButton="0" quotePrefix="0" xfId="0"/>
    <xf numFmtId="0" fontId="2" fillId="0" borderId="0" applyAlignment="1" pivotButton="0" quotePrefix="0" xfId="0">
      <alignment vertical="center" wrapText="1"/>
    </xf>
    <xf numFmtId="0" fontId="16" fillId="0" borderId="0" pivotButton="0" quotePrefix="0" xfId="0"/>
    <xf numFmtId="0" fontId="17" fillId="8" borderId="1" applyAlignment="1" pivotButton="0" quotePrefix="0" xfId="0">
      <alignment horizontal="center" vertical="center"/>
    </xf>
    <xf numFmtId="0" fontId="0" fillId="8" borderId="1" pivotButton="0" quotePrefix="0" xfId="0"/>
    <xf numFmtId="0" fontId="19" fillId="9" borderId="1" applyAlignment="1" pivotButton="0" quotePrefix="0" xfId="0">
      <alignment horizontal="center" vertical="center"/>
    </xf>
    <xf numFmtId="0" fontId="0" fillId="9" borderId="1" pivotButton="0" quotePrefix="0" xfId="0"/>
    <xf numFmtId="0" fontId="18" fillId="8" borderId="1" applyAlignment="1" pivotButton="0" quotePrefix="0" xfId="0">
      <alignment horizontal="center" vertical="center" wrapText="1"/>
    </xf>
    <xf numFmtId="0" fontId="18" fillId="9" borderId="1" applyAlignment="1" pivotButton="0" quotePrefix="0" xfId="0">
      <alignment horizontal="center" vertical="center" wrapText="1"/>
    </xf>
    <xf numFmtId="0" fontId="20" fillId="0" borderId="0" pivotButton="0" quotePrefix="0" xfId="0"/>
    <xf numFmtId="0" fontId="0" fillId="0" borderId="4" pivotButton="0" quotePrefix="0" xfId="0"/>
    <xf numFmtId="0" fontId="0" fillId="0" borderId="3" pivotButton="0" quotePrefix="0" xfId="0"/>
    <xf numFmtId="0" fontId="0" fillId="0" borderId="7" pivotButton="0" quotePrefix="0" xfId="0"/>
    <xf numFmtId="0" fontId="0" fillId="0" borderId="8" pivotButton="0" quotePrefix="0" xfId="0"/>
    <xf numFmtId="0" fontId="21" fillId="0" borderId="0" pivotButton="0" quotePrefix="0" xfId="0"/>
    <xf numFmtId="0" fontId="2" fillId="0" borderId="0" applyAlignment="1" pivotButton="0" quotePrefix="0" xfId="0">
      <alignment vertical="top" wrapText="1"/>
    </xf>
    <xf numFmtId="0" fontId="2" fillId="13" borderId="1" applyAlignment="1" pivotButton="0" quotePrefix="0" xfId="0">
      <alignment vertical="top" wrapText="1"/>
    </xf>
    <xf numFmtId="0" fontId="0" fillId="0" borderId="9" pivotButton="0" quotePrefix="0" xfId="0"/>
    <xf numFmtId="0" fontId="22" fillId="8" borderId="1" applyAlignment="1" pivotButton="0" quotePrefix="0" xfId="0">
      <alignment vertical="top" wrapText="1"/>
    </xf>
    <xf numFmtId="0" fontId="22" fillId="6" borderId="1" applyAlignment="1" pivotButton="0" quotePrefix="0" xfId="0">
      <alignment vertical="top" wrapText="1"/>
    </xf>
    <xf numFmtId="0" fontId="2" fillId="1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Service Line Coverage (22 total)</a:t>
            </a:r>
          </a:p>
        </rich>
      </tx>
    </title>
    <plotArea>
      <pieChart>
        <varyColors val="1"/>
        <ser>
          <idx val="0"/>
          <order val="0"/>
          <tx>
            <strRef>
              <f>'Dashboard'!B10</f>
            </strRef>
          </tx>
          <spPr>
            <a:ln xmlns:a="http://schemas.openxmlformats.org/drawingml/2006/main">
              <a:prstDash val="solid"/>
            </a:ln>
          </spPr>
          <cat>
            <numRef>
              <f>'Dashboard'!$A$11:$A$14</f>
            </numRef>
          </cat>
          <val>
            <numRef>
              <f>'Dashboard'!$B$11:$B$14</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27 New Hazard Gaps by Priority</a:t>
            </a:r>
          </a:p>
        </rich>
      </tx>
    </title>
    <plotArea>
      <barChart>
        <barDir val="col"/>
        <grouping val="clustered"/>
        <ser>
          <idx val="0"/>
          <order val="0"/>
          <tx>
            <strRef>
              <f>'Dashboard'!G10</f>
            </strRef>
          </tx>
          <spPr>
            <a:ln xmlns:a="http://schemas.openxmlformats.org/drawingml/2006/main">
              <a:prstDash val="solid"/>
            </a:ln>
          </spPr>
          <cat>
            <numRef>
              <f>'Dashboard'!$F$11:$F$13</f>
            </numRef>
          </cat>
          <val>
            <numRef>
              <f>'Dashboard'!$G$11:$G$13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Legislation Coverage in Current RAMS</a:t>
            </a:r>
          </a:p>
        </rich>
      </tx>
    </title>
    <plotArea>
      <barChart>
        <barDir val="bar"/>
        <grouping val="clustered"/>
        <ser>
          <idx val="0"/>
          <order val="0"/>
          <tx>
            <strRef>
              <f>'Dashboard'!B29</f>
            </strRef>
          </tx>
          <spPr>
            <a:ln xmlns:a="http://schemas.openxmlformats.org/drawingml/2006/main">
              <a:prstDash val="solid"/>
            </a:ln>
          </spPr>
          <cat>
            <numRef>
              <f>'Dashboard'!$A$30:$A$32</f>
            </numRef>
          </cat>
          <val>
            <numRef>
              <f>'Dashboard'!$B$30:$B$32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Statutory Inspection Tracking</a:t>
            </a:r>
          </a:p>
        </rich>
      </tx>
    </title>
    <plotArea>
      <pieChart>
        <varyColors val="1"/>
        <ser>
          <idx val="0"/>
          <order val="0"/>
          <tx>
            <strRef>
              <f>'Dashboard'!G29</f>
            </strRef>
          </tx>
          <spPr>
            <a:ln xmlns:a="http://schemas.openxmlformats.org/drawingml/2006/main">
              <a:prstDash val="solid"/>
            </a:ln>
          </spPr>
          <cat>
            <numRef>
              <f>'Dashboard'!$F$30:$F$31</f>
            </numRef>
          </cat>
          <val>
            <numRef>
              <f>'Dashboard'!$G$30:$G$31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11</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11</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43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30</row>
      <rowOff>0</rowOff>
    </from>
    <ext cx="43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ummary'!A1" TargetMode="External" Id="rId1"/><Relationship Type="http://schemas.openxmlformats.org/officeDocument/2006/relationships/hyperlink" Target="#'Dashboard'!A1" TargetMode="External" Id="rId2"/><Relationship Type="http://schemas.openxmlformats.org/officeDocument/2006/relationships/hyperlink" Target="#'Services Coverage Map'!A1" TargetMode="External" Id="rId3"/><Relationship Type="http://schemas.openxmlformats.org/officeDocument/2006/relationships/hyperlink" Target="#'Industries Coverage Map'!A1" TargetMode="External" Id="rId4"/><Relationship Type="http://schemas.openxmlformats.org/officeDocument/2006/relationships/hyperlink" Target="#'Service x Hazard Matrix'!A1" TargetMode="External" Id="rId5"/><Relationship Type="http://schemas.openxmlformats.org/officeDocument/2006/relationships/hyperlink" Target="#'Master Hazard Register'!A1" TargetMode="External" Id="rId6"/><Relationship Type="http://schemas.openxmlformats.org/officeDocument/2006/relationships/hyperlink" Target="#'Hazard Gap Register'!A1" TargetMode="External" Id="rId7"/><Relationship Type="http://schemas.openxmlformats.org/officeDocument/2006/relationships/hyperlink" Target="#'New RA Rows - Ready to Paste'!A1" TargetMode="External" Id="rId8"/><Relationship Type="http://schemas.openxmlformats.org/officeDocument/2006/relationships/hyperlink" Target="#'Legislation &amp; Standards'!A1" TargetMode="External" Id="rId9"/><Relationship Type="http://schemas.openxmlformats.org/officeDocument/2006/relationships/hyperlink" Target="#'COSHH Register'!A1" TargetMode="External" Id="rId10"/><Relationship Type="http://schemas.openxmlformats.org/officeDocument/2006/relationships/hyperlink" Target="#'Permits Register'!A1" TargetMode="External" Id="rId11"/><Relationship Type="http://schemas.openxmlformats.org/officeDocument/2006/relationships/hyperlink" Target="#'Statutory Inspections'!A1" TargetMode="External" Id="rId12"/><Relationship Type="http://schemas.openxmlformats.org/officeDocument/2006/relationships/hyperlink" Target="#'RIDDOR Quick Reference'!A1" TargetMode="External" Id="rId13"/><Relationship Type="http://schemas.openxmlformats.org/officeDocument/2006/relationships/hyperlink" Target="#'Toolbox Talk Topics'!A1" TargetMode="External" Id="rId14"/><Relationship Type="http://schemas.openxmlformats.org/officeDocument/2006/relationships/hyperlink" Target="#'Training &amp; Competency'!A1" TargetMode="External" Id="rId15"/><Relationship Type="http://schemas.openxmlformats.org/officeDocument/2006/relationships/hyperlink" Target="#'Personnel Competency Tracker'!A1" TargetMode="External" Id="rId16"/><Relationship Type="http://schemas.openxmlformats.org/officeDocument/2006/relationships/hyperlink" Target="#'Site &amp; Emergency Info'!A1" TargetMode="External" Id="rId17"/><Relationship Type="http://schemas.openxmlformats.org/officeDocument/2006/relationships/hyperlink" Target="#'PPE Matrix'!A1" TargetMode="External" Id="rId18"/><Relationship Type="http://schemas.openxmlformats.org/officeDocument/2006/relationships/hyperlink" Target="#'Risk Scoring Matrix'!A1" TargetMode="External" Id="rId19"/><Relationship Type="http://schemas.openxmlformats.org/officeDocument/2006/relationships/hyperlink" Target="#'Document Quality Issues'!A1" TargetMode="External" Id="rId20"/><Relationship Type="http://schemas.openxmlformats.org/officeDocument/2006/relationships/hyperlink" Target="#'Action Roadmap'!A1" TargetMode="External" Id="rId21"/><Relationship Type="http://schemas.openxmlformats.org/officeDocument/2006/relationships/hyperlink" Target="#'Document Index'!A1" TargetMode="External" Id="rId22"/><Relationship Type="http://schemas.openxmlformats.org/officeDocument/2006/relationships/hyperlink" Target="#'Pet Food Production Hazards'!A1" TargetMode="External" Id="rId23"/><Relationship Type="http://schemas.openxmlformats.org/officeDocument/2006/relationships/hyperlink" Target="#'Food Production Line Hazards'!A1" TargetMode="External" Id="rId24"/><Relationship Type="http://schemas.openxmlformats.org/officeDocument/2006/relationships/hyperlink" Target="#'Beyond FESS - Multi-Client'!A1" TargetMode="External" Id="rId25"/><Relationship Type="http://schemas.openxmlformats.org/officeDocument/2006/relationships/hyperlink" Target="#'Warehousing &amp; Logistics'!A1" TargetMode="External" Id="rId26"/><Relationship Type="http://schemas.openxmlformats.org/officeDocument/2006/relationships/hyperlink" Target="#'UK Manufacturing Sectors'!A1" TargetMode="External" Id="rId27"/><Relationship Type="http://schemas.openxmlformats.org/officeDocument/2006/relationships/hyperlink" Target="#'Renewable Energy &amp; Utilities'!A1" TargetMode="External" Id="rId28"/><Relationship Type="http://schemas.openxmlformats.org/officeDocument/2006/relationships/hyperlink" Target="#'Warehousing &amp; Logistics'!A1" TargetMode="External" Id="rId29"/><Relationship Type="http://schemas.openxmlformats.org/officeDocument/2006/relationships/hyperlink" Target="#'General Manufacturing'!A1" TargetMode="External" Id="rId30"/><Relationship Type="http://schemas.openxmlformats.org/officeDocument/2006/relationships/hyperlink" Target="#'Waste &amp; Recycling'!A1" TargetMode="External" Id="rId31"/><Relationship Type="http://schemas.openxmlformats.org/officeDocument/2006/relationships/hyperlink" Target="#'Renewable Energy'!A1" TargetMode="External" Id="rId32"/><Relationship Type="http://schemas.openxmlformats.org/officeDocument/2006/relationships/hyperlink" Target="#'Survey &amp; Drone Operations'!A1" TargetMode="External" Id="rId33"/><Relationship Type="http://schemas.openxmlformats.org/officeDocument/2006/relationships/hyperlink" Target="#'Cursor Implementation Spec'!A1" TargetMode="External" Id="rId34"/></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43"/>
  <sheetViews>
    <sheetView showGridLines="0" workbookViewId="0">
      <selection activeCell="A1" sqref="A1"/>
    </sheetView>
  </sheetViews>
  <sheetFormatPr baseColWidth="8" defaultRowHeight="15"/>
  <cols>
    <col width="3" customWidth="1" min="1" max="1"/>
    <col width="46" customWidth="1" min="2" max="2"/>
    <col width="46" customWidth="1" min="3" max="3"/>
    <col width="3" customWidth="1" min="4" max="4"/>
    <col width="3" customWidth="1" min="5" max="5"/>
  </cols>
  <sheetData>
    <row r="1"/>
    <row r="2" ht="34" customHeight="1">
      <c r="B2" s="47" t="inlineStr">
        <is>
          <t>FESS GROUP</t>
        </is>
      </c>
    </row>
    <row r="3">
      <c r="B3" s="48" t="inlineStr">
        <is>
          <t>RAMS Master Analysis &amp; Hazard Coverage</t>
        </is>
      </c>
    </row>
    <row r="4">
      <c r="B4" s="49" t="inlineStr">
        <is>
          <t>Prepared for MySafeOps — Smart RAMS Builder input</t>
        </is>
      </c>
    </row>
    <row r="5">
      <c r="B5" s="49" t="inlineStr">
        <is>
          <t>Design partner: FESS Group (fessgroup.co.uk) — Doncaster, UK</t>
        </is>
      </c>
    </row>
    <row r="6"/>
    <row r="7">
      <c r="B7" s="50" t="n"/>
      <c r="C7" s="50" t="n"/>
    </row>
    <row r="8"/>
    <row r="9">
      <c r="B9" s="15" t="inlineStr">
        <is>
          <t>CONTENTS</t>
        </is>
      </c>
    </row>
    <row r="10">
      <c r="B10" s="51" t="inlineStr">
        <is>
          <t>→  Summary</t>
        </is>
      </c>
      <c r="C10" s="52" t="inlineStr">
        <is>
          <t>Executive stats — full analysis at a glance</t>
        </is>
      </c>
    </row>
    <row r="11">
      <c r="B11" s="51" t="inlineStr">
        <is>
          <t>→  Dashboard</t>
        </is>
      </c>
      <c r="C11" s="52" t="inlineStr">
        <is>
          <t>Visual charts — coverage status, priorities, gaps</t>
        </is>
      </c>
    </row>
    <row r="12">
      <c r="B12" s="51" t="inlineStr">
        <is>
          <t>→  Services Coverage Map</t>
        </is>
      </c>
      <c r="C12" s="52" t="inlineStr">
        <is>
          <t>22 fessgroup.co.uk service lines vs RAMS coverage</t>
        </is>
      </c>
    </row>
    <row r="13">
      <c r="B13" s="51" t="inlineStr">
        <is>
          <t>→  Industries Coverage Map</t>
        </is>
      </c>
      <c r="C13" s="52" t="inlineStr">
        <is>
          <t>Food &amp; Drink / Pet Food / Petrochemical / Pharma</t>
        </is>
      </c>
    </row>
    <row r="14">
      <c r="B14" s="51" t="inlineStr">
        <is>
          <t>→  Service x Hazard Matrix</t>
        </is>
      </c>
      <c r="C14" s="52" t="inlineStr">
        <is>
          <t>Heat-map — which hazards apply to which service</t>
        </is>
      </c>
    </row>
    <row r="15">
      <c r="B15" s="51" t="inlineStr">
        <is>
          <t>→  Master Hazard Register</t>
        </is>
      </c>
      <c r="C15" s="52" t="inlineStr">
        <is>
          <t>27 hazards already identified from the 22 source RAMS</t>
        </is>
      </c>
    </row>
    <row r="16">
      <c r="B16" s="51" t="inlineStr">
        <is>
          <t>→  Hazard Gap Register</t>
        </is>
      </c>
      <c r="C16" s="52" t="inlineStr">
        <is>
          <t>27 additional hazard gaps found, priority ranked</t>
        </is>
      </c>
    </row>
    <row r="17">
      <c r="B17" s="51" t="inlineStr">
        <is>
          <t>→  New RA Rows - Ready to Paste</t>
        </is>
      </c>
      <c r="C17" s="52" t="inlineStr">
        <is>
          <t>27 new RA rows in exact FESS template format</t>
        </is>
      </c>
    </row>
    <row r="18">
      <c r="B18" s="51" t="inlineStr">
        <is>
          <t>→  Legislation &amp; Standards</t>
        </is>
      </c>
      <c r="C18" s="52" t="inlineStr">
        <is>
          <t>20 UK regulations mapped to hazard areas</t>
        </is>
      </c>
    </row>
    <row r="19">
      <c r="B19" s="51" t="inlineStr">
        <is>
          <t>→  COSHH Register</t>
        </is>
      </c>
      <c r="C19" s="52" t="inlineStr">
        <is>
          <t>9 substances, full HSE-style assessment</t>
        </is>
      </c>
    </row>
    <row r="20">
      <c r="B20" s="51" t="inlineStr">
        <is>
          <t>→  Permits Register</t>
        </is>
      </c>
      <c r="C20" s="52" t="inlineStr">
        <is>
          <t>10 permit types with full lifecycle detail</t>
        </is>
      </c>
    </row>
    <row r="21">
      <c r="B21" s="51" t="inlineStr">
        <is>
          <t>→  Statutory Inspections</t>
        </is>
      </c>
      <c r="C21" s="52" t="inlineStr">
        <is>
          <t>13 equipment categories, legal inspection intervals</t>
        </is>
      </c>
    </row>
    <row r="22">
      <c r="B22" s="51" t="inlineStr">
        <is>
          <t>→  RIDDOR Quick Reference</t>
        </is>
      </c>
      <c r="C22" s="52" t="inlineStr">
        <is>
          <t>6 reportable event categories</t>
        </is>
      </c>
    </row>
    <row r="23">
      <c r="B23" s="51" t="inlineStr">
        <is>
          <t>→  Toolbox Talk Topics</t>
        </is>
      </c>
      <c r="C23" s="52" t="inlineStr">
        <is>
          <t>14 topics ready to schedule</t>
        </is>
      </c>
    </row>
    <row r="24">
      <c r="B24" s="51" t="inlineStr">
        <is>
          <t>→  Training &amp; Competency</t>
        </is>
      </c>
      <c r="C24" s="52" t="inlineStr">
        <is>
          <t>17 certifications to track</t>
        </is>
      </c>
    </row>
    <row r="25">
      <c r="B25" s="51" t="inlineStr">
        <is>
          <t>→  Personnel Competency Tracker</t>
        </is>
      </c>
      <c r="C25" s="52" t="inlineStr">
        <is>
          <t>7 named FESS operatives</t>
        </is>
      </c>
    </row>
    <row r="26">
      <c r="B26" s="51" t="inlineStr">
        <is>
          <t>→  Site &amp; Emergency Info</t>
        </is>
      </c>
      <c r="C26" s="52" t="inlineStr">
        <is>
          <t>Per-site emergency data — fixes a real error found</t>
        </is>
      </c>
    </row>
    <row r="27">
      <c r="B27" s="51" t="inlineStr">
        <is>
          <t>→  PPE Matrix</t>
        </is>
      </c>
      <c r="C27" s="52" t="inlineStr">
        <is>
          <t>11 activity types vs required PPE</t>
        </is>
      </c>
    </row>
    <row r="28">
      <c r="B28" s="51" t="inlineStr">
        <is>
          <t>→  Risk Scoring Matrix</t>
        </is>
      </c>
      <c r="C28" s="52" t="inlineStr">
        <is>
          <t>FESS's own L x S scoring system explained</t>
        </is>
      </c>
    </row>
    <row r="29">
      <c r="B29" s="51" t="inlineStr">
        <is>
          <t>→  Document Quality Issues</t>
        </is>
      </c>
      <c r="C29" s="52" t="inlineStr">
        <is>
          <t>7 real issues found in the source documents</t>
        </is>
      </c>
    </row>
    <row r="30">
      <c r="B30" s="51" t="inlineStr">
        <is>
          <t>→  Action Roadmap</t>
        </is>
      </c>
      <c r="C30" s="52" t="inlineStr">
        <is>
          <t>10-step priority build sequence for Cursor</t>
        </is>
      </c>
    </row>
    <row r="31">
      <c r="B31" s="51" t="inlineStr">
        <is>
          <t>→  Document Index</t>
        </is>
      </c>
      <c r="C31" s="52" t="inlineStr">
        <is>
          <t>All 22 source documents catalogued</t>
        </is>
      </c>
    </row>
    <row r="32">
      <c r="B32" s="51" t="inlineStr">
        <is>
          <t>→  Pet Food Production Hazards</t>
        </is>
      </c>
      <c r="C32" s="52" t="inlineStr">
        <is>
          <t>Butternut Box + any pet food client — full production process hazards</t>
        </is>
      </c>
    </row>
    <row r="33">
      <c r="B33" s="51" t="inlineStr">
        <is>
          <t>→  Food Production Line Hazards</t>
        </is>
      </c>
      <c r="C33" s="52" t="inlineStr">
        <is>
          <t>Meat/poultry, bakery, dairy, beverage — general production hazard library</t>
        </is>
      </c>
    </row>
    <row r="34">
      <c r="B34" s="51" t="inlineStr">
        <is>
          <t>→  Beyond FESS - Multi-Client Roadmap</t>
        </is>
      </c>
      <c r="C34" s="52" t="inlineStr">
        <is>
          <t>How this hazard library generalises across ALL MySafeOps sectors</t>
        </is>
      </c>
    </row>
    <row r="35">
      <c r="B35" s="51" t="inlineStr">
        <is>
          <t>→  Warehousing &amp; Logistics</t>
        </is>
      </c>
      <c r="C35" s="52" t="inlineStr">
        <is>
          <t>Racking, FLT, MHE, mezzanine, cold chain, ASRS, battery charging</t>
        </is>
      </c>
    </row>
    <row r="36">
      <c r="B36" s="51" t="inlineStr">
        <is>
          <t>→  UK Manufacturing Sectors</t>
        </is>
      </c>
      <c r="C36" s="52" t="inlineStr">
        <is>
          <t>Metal/automotive, plastics, timber, print, textiles, recycling, brewing</t>
        </is>
      </c>
    </row>
    <row r="37">
      <c r="B37" s="51" t="inlineStr">
        <is>
          <t>→  Renewable Energy &amp; Utilities</t>
        </is>
      </c>
      <c r="C37" s="52" t="inlineStr">
        <is>
          <t>Solar, wind, BESS, grid/substation, water treatment, heat pumps</t>
        </is>
      </c>
    </row>
    <row r="38">
      <c r="B38" s="51" t="inlineStr">
        <is>
          <t>→  Warehousing &amp; Logistics</t>
        </is>
      </c>
      <c r="C38" s="52" t="inlineStr">
        <is>
          <t>Distribution centres, 3PL, e-commerce fulfilment hazard library</t>
        </is>
      </c>
    </row>
    <row r="39">
      <c r="B39" s="51" t="inlineStr">
        <is>
          <t>→  General Manufacturing</t>
        </is>
      </c>
      <c r="C39" s="52" t="inlineStr">
        <is>
          <t>CNC, fabrication, welding, press work, assembly line hazard library</t>
        </is>
      </c>
    </row>
    <row r="40">
      <c r="B40" s="51" t="inlineStr">
        <is>
          <t>→  Waste &amp; Recycling</t>
        </is>
      </c>
      <c r="C40" s="52" t="inlineStr">
        <is>
          <t>MRF, RCV, landfill, WEEE, hazardous waste hazard library</t>
        </is>
      </c>
    </row>
    <row r="41">
      <c r="B41" s="51" t="inlineStr">
        <is>
          <t>→  Renewable Energy</t>
        </is>
      </c>
      <c r="C41" s="52" t="inlineStr">
        <is>
          <t>Solar, wind, battery storage, heat pump hazard library</t>
        </is>
      </c>
    </row>
    <row r="42">
      <c r="B42" s="51" t="inlineStr">
        <is>
          <t>→  Survey &amp; Drone Operations</t>
        </is>
      </c>
      <c r="C42" s="52" t="inlineStr">
        <is>
          <t>GPR/utility survey, topographic, UAV, point cloud/LiDAR — MySafeOps's own sector</t>
        </is>
      </c>
    </row>
    <row r="43">
      <c r="B43" s="51" t="inlineStr">
        <is>
          <t>→  Cursor Implementation Spec</t>
        </is>
      </c>
      <c r="C43" s="52" t="inlineStr">
        <is>
          <t>Database table structure and build order — how to actually ship this</t>
        </is>
      </c>
    </row>
  </sheetData>
  <mergeCells count="1">
    <mergeCell ref="B9:C9"/>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1" r:id="rId12"/>
    <hyperlink xmlns:r="http://schemas.openxmlformats.org/officeDocument/2006/relationships" ref="B22" r:id="rId13"/>
    <hyperlink xmlns:r="http://schemas.openxmlformats.org/officeDocument/2006/relationships" ref="B23" r:id="rId14"/>
    <hyperlink xmlns:r="http://schemas.openxmlformats.org/officeDocument/2006/relationships" ref="B24" r:id="rId15"/>
    <hyperlink xmlns:r="http://schemas.openxmlformats.org/officeDocument/2006/relationships" ref="B25" r:id="rId16"/>
    <hyperlink xmlns:r="http://schemas.openxmlformats.org/officeDocument/2006/relationships" ref="B26" r:id="rId17"/>
    <hyperlink xmlns:r="http://schemas.openxmlformats.org/officeDocument/2006/relationships" ref="B27" r:id="rId18"/>
    <hyperlink xmlns:r="http://schemas.openxmlformats.org/officeDocument/2006/relationships" ref="B28" r:id="rId19"/>
    <hyperlink xmlns:r="http://schemas.openxmlformats.org/officeDocument/2006/relationships" ref="B29" r:id="rId20"/>
    <hyperlink xmlns:r="http://schemas.openxmlformats.org/officeDocument/2006/relationships" ref="B30" r:id="rId21"/>
    <hyperlink xmlns:r="http://schemas.openxmlformats.org/officeDocument/2006/relationships" ref="B31" r:id="rId22"/>
    <hyperlink xmlns:r="http://schemas.openxmlformats.org/officeDocument/2006/relationships" ref="B32" r:id="rId23"/>
    <hyperlink xmlns:r="http://schemas.openxmlformats.org/officeDocument/2006/relationships" ref="B33" r:id="rId24"/>
    <hyperlink xmlns:r="http://schemas.openxmlformats.org/officeDocument/2006/relationships" ref="B34" r:id="rId25"/>
    <hyperlink xmlns:r="http://schemas.openxmlformats.org/officeDocument/2006/relationships" ref="B35" r:id="rId26"/>
    <hyperlink xmlns:r="http://schemas.openxmlformats.org/officeDocument/2006/relationships" ref="B36" r:id="rId27"/>
    <hyperlink xmlns:r="http://schemas.openxmlformats.org/officeDocument/2006/relationships" ref="B37" r:id="rId28"/>
    <hyperlink xmlns:r="http://schemas.openxmlformats.org/officeDocument/2006/relationships" ref="B38" r:id="rId29"/>
    <hyperlink xmlns:r="http://schemas.openxmlformats.org/officeDocument/2006/relationships" ref="B39" r:id="rId30"/>
    <hyperlink xmlns:r="http://schemas.openxmlformats.org/officeDocument/2006/relationships" ref="B40" r:id="rId31"/>
    <hyperlink xmlns:r="http://schemas.openxmlformats.org/officeDocument/2006/relationships" ref="B41" r:id="rId32"/>
    <hyperlink xmlns:r="http://schemas.openxmlformats.org/officeDocument/2006/relationships" ref="B42" r:id="rId33"/>
    <hyperlink xmlns:r="http://schemas.openxmlformats.org/officeDocument/2006/relationships" ref="B43"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8"/>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30" customHeight="1">
      <c r="A1" s="53" t="inlineStr">
        <is>
          <t>FESS Group — Coverage Dashboard</t>
        </is>
      </c>
    </row>
    <row r="2">
      <c r="A2" s="49" t="inlineStr">
        <is>
          <t>Visual summary of hazard, service, and compliance coverage across the full analysis</t>
        </is>
      </c>
    </row>
    <row r="4" ht="32" customHeight="1">
      <c r="A4" s="54" t="inlineStr">
        <is>
          <t>22</t>
        </is>
      </c>
      <c r="B4" s="61" t="n"/>
      <c r="C4" s="54" t="inlineStr">
        <is>
          <t>54</t>
        </is>
      </c>
      <c r="D4" s="61" t="n"/>
      <c r="E4" s="56" t="inlineStr">
        <is>
          <t>15</t>
        </is>
      </c>
      <c r="F4" s="61" t="n"/>
      <c r="G4" s="56" t="inlineStr">
        <is>
          <t>12</t>
        </is>
      </c>
      <c r="H4" s="61" t="n"/>
      <c r="I4" s="56" t="inlineStr">
        <is>
          <t>2</t>
        </is>
      </c>
      <c r="J4" s="61" t="n"/>
      <c r="K4" s="54" t="inlineStr">
        <is>
          <t>9</t>
        </is>
      </c>
      <c r="L4" s="61" t="n"/>
    </row>
    <row r="5">
      <c r="A5" s="58" t="inlineStr">
        <is>
          <t>Source RAMS
Documents Reviewed</t>
        </is>
      </c>
      <c r="B5" s="62" t="n"/>
      <c r="C5" s="58" t="inlineStr">
        <is>
          <t>Total Hazards
(27 existing + 27 new)</t>
        </is>
      </c>
      <c r="D5" s="62" t="n"/>
      <c r="E5" s="59" t="inlineStr">
        <is>
          <t>P1 Critical
Gaps Identified</t>
        </is>
      </c>
      <c r="F5" s="62" t="n"/>
      <c r="G5" s="59" t="inlineStr">
        <is>
          <t>Service Lines With
ZERO Coverage</t>
        </is>
      </c>
      <c r="H5" s="62" t="n"/>
      <c r="I5" s="59" t="inlineStr">
        <is>
          <t>Industries With
ZERO RAMS</t>
        </is>
      </c>
      <c r="J5" s="62" t="n"/>
      <c r="K5" s="58" t="inlineStr">
        <is>
          <t>COSHH Substances
Now Documented</t>
        </is>
      </c>
      <c r="L5" s="62" t="n"/>
    </row>
    <row r="6">
      <c r="A6" s="63" t="n"/>
      <c r="B6" s="64" t="n"/>
      <c r="C6" s="63" t="n"/>
      <c r="D6" s="64" t="n"/>
      <c r="E6" s="63" t="n"/>
      <c r="F6" s="64" t="n"/>
      <c r="G6" s="63" t="n"/>
      <c r="H6" s="64" t="n"/>
      <c r="I6" s="63" t="n"/>
      <c r="J6" s="64" t="n"/>
      <c r="K6" s="63" t="n"/>
      <c r="L6" s="64" t="n"/>
    </row>
    <row r="9">
      <c r="A9" s="60" t="inlineStr">
        <is>
          <t>Service Line Coverage Status</t>
        </is>
      </c>
      <c r="F9" s="60" t="inlineStr">
        <is>
          <t>Hazard Gap Priority Breakdown</t>
        </is>
      </c>
    </row>
    <row r="10">
      <c r="A10" t="inlineStr">
        <is>
          <t>Status</t>
        </is>
      </c>
      <c r="B10" t="inlineStr">
        <is>
          <t>Count</t>
        </is>
      </c>
      <c r="F10" t="inlineStr">
        <is>
          <t>Priority</t>
        </is>
      </c>
      <c r="G10" t="inlineStr">
        <is>
          <t>Count</t>
        </is>
      </c>
    </row>
    <row r="11">
      <c r="A11" t="inlineStr">
        <is>
          <t>MISSING</t>
        </is>
      </c>
      <c r="B11" t="n">
        <v>12</v>
      </c>
      <c r="F11" t="inlineStr">
        <is>
          <t>P1 - Critical</t>
        </is>
      </c>
      <c r="G11" t="n">
        <v>15</v>
      </c>
    </row>
    <row r="12">
      <c r="A12" t="inlineStr">
        <is>
          <t>PARTIAL</t>
        </is>
      </c>
      <c r="B12" t="n">
        <v>6</v>
      </c>
      <c r="F12" t="inlineStr">
        <is>
          <t>P2</t>
        </is>
      </c>
      <c r="G12" t="n">
        <v>9</v>
      </c>
    </row>
    <row r="13">
      <c r="A13" t="inlineStr">
        <is>
          <t>COVERED</t>
        </is>
      </c>
      <c r="B13" t="n">
        <v>2</v>
      </c>
      <c r="F13" t="inlineStr">
        <is>
          <t>P3</t>
        </is>
      </c>
      <c r="G13" t="n">
        <v>3</v>
      </c>
    </row>
    <row r="14">
      <c r="A14" t="inlineStr">
        <is>
          <t>N/A / Opportunity</t>
        </is>
      </c>
      <c r="B14" t="n">
        <v>2</v>
      </c>
    </row>
    <row r="28">
      <c r="A28" s="60" t="inlineStr">
        <is>
          <t>Legislation Reference Status (20 regulations)</t>
        </is>
      </c>
      <c r="F28" s="60" t="inlineStr">
        <is>
          <t>Statutory Inspections Tracked (13 equipment types)</t>
        </is>
      </c>
    </row>
    <row r="29">
      <c r="A29" t="inlineStr">
        <is>
          <t>Status</t>
        </is>
      </c>
      <c r="B29" t="inlineStr">
        <is>
          <t>Count</t>
        </is>
      </c>
      <c r="F29" t="inlineStr">
        <is>
          <t>Status</t>
        </is>
      </c>
      <c r="G29" t="inlineStr">
        <is>
          <t>Count</t>
        </is>
      </c>
    </row>
    <row r="30">
      <c r="A30" t="inlineStr">
        <is>
          <t>Strongly referenced</t>
        </is>
      </c>
      <c r="B30" t="n">
        <v>3</v>
      </c>
      <c r="F30" t="inlineStr">
        <is>
          <t>Tracked/referenced</t>
        </is>
      </c>
      <c r="G30" t="n">
        <v>3</v>
      </c>
    </row>
    <row r="31">
      <c r="A31" t="inlineStr">
        <is>
          <t>Partially/narratively referenced</t>
        </is>
      </c>
      <c r="B31" t="n">
        <v>6</v>
      </c>
      <c r="F31" t="inlineStr">
        <is>
          <t>NOT TRACKED</t>
        </is>
      </c>
      <c r="G31" t="n">
        <v>10</v>
      </c>
    </row>
    <row r="32">
      <c r="A32" t="inlineStr">
        <is>
          <t>NOT referenced</t>
        </is>
      </c>
      <c r="B32" t="n">
        <v>11</v>
      </c>
    </row>
    <row r="48">
      <c r="A48" s="49" t="inlineStr">
        <is>
          <t>Full detail behind every chart is in the linked sheets — see Cover page for navigation.</t>
        </is>
      </c>
    </row>
  </sheetData>
  <mergeCells count="14">
    <mergeCell ref="A4:B4"/>
    <mergeCell ref="G4:H4"/>
    <mergeCell ref="A1:J1"/>
    <mergeCell ref="E4:F4"/>
    <mergeCell ref="I4:J4"/>
    <mergeCell ref="C5:D6"/>
    <mergeCell ref="A5:B6"/>
    <mergeCell ref="G5:H6"/>
    <mergeCell ref="E5:F6"/>
    <mergeCell ref="K5:L6"/>
    <mergeCell ref="I5:J6"/>
    <mergeCell ref="A2:J2"/>
    <mergeCell ref="K4:L4"/>
    <mergeCell ref="C4:D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86"/>
  <sheetViews>
    <sheetView showGridLines="0" workbookViewId="0">
      <selection activeCell="A1" sqref="A1"/>
    </sheetView>
  </sheetViews>
  <sheetFormatPr baseColWidth="8" defaultRowHeight="15"/>
  <cols>
    <col width="35" customWidth="1" min="1" max="1"/>
    <col width="70" customWidth="1" min="2" max="2"/>
  </cols>
  <sheetData>
    <row r="1">
      <c r="A1" s="8" t="inlineStr">
        <is>
          <t>FESS Group RAMS Analysis Summary</t>
        </is>
      </c>
    </row>
    <row r="3">
      <c r="A3" s="13" t="inlineStr">
        <is>
          <t>Total documents analysed</t>
        </is>
      </c>
      <c r="B3" s="14" t="n">
        <v>22</v>
      </c>
    </row>
    <row r="4">
      <c r="A4" s="13" t="inlineStr">
        <is>
          <t>Method Statements</t>
        </is>
      </c>
      <c r="B4" s="14" t="n">
        <v>16</v>
      </c>
    </row>
    <row r="5">
      <c r="A5" s="13" t="inlineStr">
        <is>
          <t>Risk Assessments</t>
        </is>
      </c>
      <c r="B5" s="14" t="n">
        <v>6</v>
      </c>
    </row>
    <row r="6">
      <c r="A6" s="13" t="inlineStr">
        <is>
          <t>Unique hazards identified</t>
        </is>
      </c>
      <c r="B6" s="14" t="n">
        <v>27</v>
      </c>
    </row>
    <row r="7">
      <c r="A7" s="13" t="inlineStr">
        <is>
          <t>HIGH risk hazards (RF &gt;= 24)</t>
        </is>
      </c>
      <c r="B7" s="14" t="n">
        <v>15</v>
      </c>
    </row>
    <row r="8">
      <c r="A8" s="13" t="inlineStr">
        <is>
          <t>MEDIUM risk hazards (RF 12-24)</t>
        </is>
      </c>
      <c r="B8" s="14" t="n">
        <v>12</v>
      </c>
    </row>
    <row r="9">
      <c r="A9" s="13" t="inlineStr">
        <is>
          <t>Clients covered</t>
        </is>
      </c>
      <c r="B9" s="14" t="inlineStr">
        <is>
          <t>2SFG, Butternut Box, Dovecoat Park, Cranswick Foods/Foodclean, Quorn</t>
        </is>
      </c>
    </row>
    <row r="10">
      <c r="A10" s="13" t="inlineStr">
        <is>
          <t>Sites covered</t>
        </is>
      </c>
      <c r="B10" s="14" t="inlineStr">
        <is>
          <t>Flixton, Scunthorpe, Butternut Box, Dovecoat Park, Lazenby, Quorn</t>
        </is>
      </c>
    </row>
    <row r="11">
      <c r="A11" s="13" t="inlineStr">
        <is>
          <t>Main author</t>
        </is>
      </c>
      <c r="B11" s="14" t="inlineStr">
        <is>
          <t>David Anderson</t>
        </is>
      </c>
    </row>
    <row r="12">
      <c r="A12" s="13" t="inlineStr">
        <is>
          <t>Key personnel</t>
        </is>
      </c>
      <c r="B12" s="14" t="inlineStr">
        <is>
          <t>Deividas Pamerneckis, Bartek Kwapisz, Wiktor Pacanowski, Bronius Masulevicius, Mateusz Kaszkowiak, Maciej Pokladecki</t>
        </is>
      </c>
    </row>
    <row r="13">
      <c r="A13" s="13" t="inlineStr">
        <is>
          <t>Most common hazard category</t>
        </is>
      </c>
      <c r="B13" s="14" t="inlineStr">
        <is>
          <t>Electric shock / Electrical safety</t>
        </is>
      </c>
    </row>
    <row r="14">
      <c r="A14" s="13" t="inlineStr">
        <is>
          <t>Second most common</t>
        </is>
      </c>
      <c r="B14" s="14" t="inlineStr">
        <is>
          <t>Falls from height / Working at height</t>
        </is>
      </c>
    </row>
    <row r="15">
      <c r="A15" s="13" t="inlineStr">
        <is>
          <t>Third most common</t>
        </is>
      </c>
      <c r="B15" s="14" t="inlineStr">
        <is>
          <t>Manual handling</t>
        </is>
      </c>
    </row>
    <row r="16">
      <c r="A16" s="13" t="inlineStr">
        <is>
          <t>Sector-specific hazards</t>
        </is>
      </c>
      <c r="B16" s="14" t="inlineStr">
        <is>
          <t>TIG welding in roof voids, refrigeration panel drilling, chemical pipe changeover, FLT operations in production areas, machinery transportation</t>
        </is>
      </c>
    </row>
    <row r="17">
      <c r="A17" s="13" t="inlineStr">
        <is>
          <t>PPE always required</t>
        </is>
      </c>
      <c r="B17" s="14" t="inlineStr">
        <is>
          <t>Safety boots, hard hat, hi-vis, safety gloves</t>
        </is>
      </c>
    </row>
    <row r="18">
      <c r="A18" s="13" t="inlineStr">
        <is>
          <t>Training/quals mentioned</t>
        </is>
      </c>
      <c r="B18" s="14" t="inlineStr">
        <is>
          <t>IPAF, PASMA, PAT testing, safe isolation procedures, PED201/68/EU</t>
        </is>
      </c>
    </row>
    <row r="19">
      <c r="A19" s="13" t="inlineStr">
        <is>
          <t>Permits referenced</t>
        </is>
      </c>
      <c r="B19" s="14" t="inlineStr">
        <is>
          <t>Hot Work Permit, Permit to Work, Electrical Isolation</t>
        </is>
      </c>
    </row>
    <row r="20">
      <c r="A20" s="13" t="inlineStr">
        <is>
          <t>Legislation/Standards</t>
        </is>
      </c>
      <c r="B20" s="14" t="inlineStr">
        <is>
          <t>BS EN166, PED201/68/EU, 85dB noise threshold</t>
        </is>
      </c>
    </row>
    <row r="23">
      <c r="A23" s="15" t="inlineStr">
        <is>
          <t>Extended Gap Analysis Stats</t>
        </is>
      </c>
    </row>
    <row r="24">
      <c r="A24" s="13" t="inlineStr">
        <is>
          <t>FESS service lines mapped</t>
        </is>
      </c>
      <c r="B24" s="16" t="n">
        <v>22</v>
      </c>
    </row>
    <row r="25">
      <c r="A25" s="13" t="inlineStr">
        <is>
          <t>Service lines with FULL coverage</t>
        </is>
      </c>
      <c r="B25" s="16" t="n">
        <v>2</v>
      </c>
    </row>
    <row r="26">
      <c r="A26" s="13" t="inlineStr">
        <is>
          <t>Service lines PARTIAL coverage</t>
        </is>
      </c>
      <c r="B26" s="16" t="n">
        <v>6</v>
      </c>
    </row>
    <row r="27">
      <c r="A27" s="13" t="inlineStr">
        <is>
          <t>Service lines MISSING coverage entirely</t>
        </is>
      </c>
      <c r="B27" s="16" t="n">
        <v>12</v>
      </c>
    </row>
    <row r="28">
      <c r="A28" s="13" t="inlineStr">
        <is>
          <t>Industries mapped</t>
        </is>
      </c>
      <c r="B28" s="16" t="n">
        <v>4</v>
      </c>
    </row>
    <row r="29">
      <c r="A29" s="13" t="inlineStr">
        <is>
          <t>Industries with zero RAMS coverage</t>
        </is>
      </c>
      <c r="B29" s="16" t="inlineStr">
        <is>
          <t>2 (Petrochemical, Pharmaceutical)</t>
        </is>
      </c>
    </row>
    <row r="30">
      <c r="A30" s="13" t="inlineStr">
        <is>
          <t>Additional hazard gaps identified</t>
        </is>
      </c>
      <c r="B30" s="16" t="n">
        <v>27</v>
      </c>
    </row>
    <row r="31">
      <c r="A31" s="13" t="inlineStr">
        <is>
          <t>P1 (critical) gaps</t>
        </is>
      </c>
      <c r="B31" s="16" t="n">
        <v>15</v>
      </c>
    </row>
    <row r="32">
      <c r="A32" s="13" t="inlineStr">
        <is>
          <t>Missing permit types</t>
        </is>
      </c>
      <c r="B32" s="16" t="n">
        <v>8</v>
      </c>
    </row>
    <row r="33">
      <c r="A33" s="13" t="inlineStr">
        <is>
          <t>Untracked certifications identified</t>
        </is>
      </c>
      <c r="B33" s="16" t="n">
        <v>14</v>
      </c>
    </row>
    <row r="34">
      <c r="A34" s="13" t="inlineStr">
        <is>
          <t>Document hygiene issues found</t>
        </is>
      </c>
      <c r="B34" s="16" t="n">
        <v>7</v>
      </c>
    </row>
    <row r="37">
      <c r="A37" s="15" t="inlineStr">
        <is>
          <t>Deep-Dive Addendum Stats</t>
        </is>
      </c>
    </row>
    <row r="38">
      <c r="A38" s="13" t="inlineStr">
        <is>
          <t>Ready-to-paste new RA rows (FESS template format)</t>
        </is>
      </c>
      <c r="B38" s="16" t="n">
        <v>27</v>
      </c>
    </row>
    <row r="39">
      <c r="A39" s="13" t="inlineStr">
        <is>
          <t>UK regulations/standards mapped</t>
        </is>
      </c>
      <c r="B39" s="16" t="n">
        <v>20</v>
      </c>
    </row>
    <row r="40">
      <c r="A40" s="13" t="inlineStr">
        <is>
          <t>Regulations NOT currently referenced</t>
        </is>
      </c>
      <c r="B40" s="16" t="n">
        <v>11</v>
      </c>
    </row>
    <row r="41">
      <c r="A41" s="13" t="inlineStr">
        <is>
          <t>COSHH substances identified as in-scope but undocumented</t>
        </is>
      </c>
      <c r="B41" s="16" t="n">
        <v>9</v>
      </c>
    </row>
    <row r="42">
      <c r="A42" s="13" t="inlineStr">
        <is>
          <t>Sites with confirmed emergency-info data quality issue</t>
        </is>
      </c>
      <c r="B42" s="16" t="n">
        <v>1</v>
      </c>
    </row>
    <row r="43">
      <c r="A43" s="13" t="inlineStr">
        <is>
          <t>Named FESS personnel tracked for competency</t>
        </is>
      </c>
      <c r="B43" s="16" t="n">
        <v>7</v>
      </c>
    </row>
    <row r="46">
      <c r="A46" s="15" t="inlineStr">
        <is>
          <t>Full Detail Pass — Final Stats</t>
        </is>
      </c>
    </row>
    <row r="47">
      <c r="A47" s="13" t="inlineStr">
        <is>
          <t>COSHH substances with full HSE-style assessment</t>
        </is>
      </c>
      <c r="B47" s="16" t="n">
        <v>9</v>
      </c>
    </row>
    <row r="48">
      <c r="A48" s="13" t="inlineStr">
        <is>
          <t>Substances flagged carcinogen/asbestos risk (highest priority)</t>
        </is>
      </c>
      <c r="B48" s="16" t="n">
        <v>2</v>
      </c>
    </row>
    <row r="49">
      <c r="A49" s="13" t="inlineStr">
        <is>
          <t>Permit types with full lifecycle detail (issuer/validity/escalation)</t>
        </is>
      </c>
      <c r="B49" s="16" t="n">
        <v>10</v>
      </c>
    </row>
    <row r="50">
      <c r="A50" s="13" t="inlineStr">
        <is>
          <t>Statutory inspection categories tracked</t>
        </is>
      </c>
      <c r="B50" s="16" t="n">
        <v>13</v>
      </c>
    </row>
    <row r="51">
      <c r="A51" s="13" t="inlineStr">
        <is>
          <t>Statutory inspections currently NOT TRACKED</t>
        </is>
      </c>
      <c r="B51" s="16" t="n">
        <v>10</v>
      </c>
    </row>
    <row r="52">
      <c r="A52" s="13" t="inlineStr">
        <is>
          <t>RIDDOR reportable event categories mapped</t>
        </is>
      </c>
      <c r="B52" s="16" t="n">
        <v>6</v>
      </c>
    </row>
    <row r="53">
      <c r="A53" s="13" t="inlineStr">
        <is>
          <t>Toolbox talk topics ready to schedule</t>
        </is>
      </c>
      <c r="B53" s="16" t="n">
        <v>14</v>
      </c>
    </row>
    <row r="54">
      <c r="A54" s="13" t="inlineStr">
        <is>
          <t>Service lines cross-referenced against hazard categories</t>
        </is>
      </c>
      <c r="B54" s="16" t="n">
        <v>11</v>
      </c>
    </row>
    <row r="57">
      <c r="A57" s="15" t="inlineStr">
        <is>
          <t>Sector Generalisation Pass</t>
        </is>
      </c>
    </row>
    <row r="58">
      <c r="A58" s="13" t="inlineStr">
        <is>
          <t>Pet food production process stages covered</t>
        </is>
      </c>
      <c r="B58" s="16" t="n">
        <v>11</v>
      </c>
    </row>
    <row r="59">
      <c r="A59" s="13" t="inlineStr">
        <is>
          <t>General food/drink production sectors covered</t>
        </is>
      </c>
      <c r="B59" s="16" t="inlineStr">
        <is>
          <t>Meat &amp; Poultry, Bakery, Dairy, Beverage, General FMCG</t>
        </is>
      </c>
    </row>
    <row r="60">
      <c r="A60" s="13" t="inlineStr">
        <is>
          <t>MySafeOps sectors cross-checked against this analysis</t>
        </is>
      </c>
      <c r="B60" s="16" t="n">
        <v>6</v>
      </c>
    </row>
    <row r="61">
      <c r="A61" s="13" t="inlineStr">
        <is>
          <t>Sectors with zero dedicated build yet (Construction, Survey, Petrochem)</t>
        </is>
      </c>
      <c r="B61" s="16" t="n">
        <v>3</v>
      </c>
    </row>
    <row r="64">
      <c r="A64" s="15" t="inlineStr">
        <is>
          <t>Full Sector Expansion — Final Pass</t>
        </is>
      </c>
    </row>
    <row r="65">
      <c r="A65" s="13" t="inlineStr">
        <is>
          <t>Warehousing/logistics activities covered</t>
        </is>
      </c>
      <c r="B65" s="16" t="n">
        <v>10</v>
      </c>
    </row>
    <row r="66">
      <c r="A66" s="13" t="inlineStr">
        <is>
          <t>UK manufacturing sub-sectors covered</t>
        </is>
      </c>
      <c r="B66" s="16" t="inlineStr">
        <is>
          <t>Metal/Automotive, Plastics/Packaging, Timber/Joinery, Print/Packaging, Textiles, Recycling/Waste, Brewing/Distilling</t>
        </is>
      </c>
    </row>
    <row r="67">
      <c r="A67" s="13" t="inlineStr">
        <is>
          <t>Renewable energy &amp; utilities activities covered</t>
        </is>
      </c>
      <c r="B67" s="16" t="n">
        <v>10</v>
      </c>
    </row>
    <row r="68">
      <c r="A68" s="13" t="inlineStr">
        <is>
          <t>Total hazard/activity rows across entire workbook</t>
        </is>
      </c>
      <c r="B68" s="16" t="inlineStr">
        <is>
          <t>150+</t>
        </is>
      </c>
    </row>
    <row r="69">
      <c r="A69" s="13" t="inlineStr">
        <is>
          <t>Total analytical sheets</t>
        </is>
      </c>
      <c r="B69" s="16" t="n">
        <v>29</v>
      </c>
    </row>
    <row r="72">
      <c r="A72" s="15" t="inlineStr">
        <is>
          <t>UK Sector Expansion Pass</t>
        </is>
      </c>
    </row>
    <row r="73">
      <c r="A73" s="13" t="inlineStr">
        <is>
          <t>New UK sector hazard libraries built this pass</t>
        </is>
      </c>
      <c r="B73" s="16" t="n">
        <v>4</v>
      </c>
    </row>
    <row r="74">
      <c r="A74" s="13" t="inlineStr">
        <is>
          <t>Warehousing &amp; Logistics activities covered</t>
        </is>
      </c>
      <c r="B74" s="16" t="n">
        <v>11</v>
      </c>
    </row>
    <row r="75">
      <c r="A75" s="13" t="inlineStr">
        <is>
          <t>General Manufacturing activities covered</t>
        </is>
      </c>
      <c r="B75" s="16" t="n">
        <v>11</v>
      </c>
    </row>
    <row r="76">
      <c r="A76" s="13" t="inlineStr">
        <is>
          <t>Waste &amp; Recycling activities covered</t>
        </is>
      </c>
      <c r="B76" s="16" t="n">
        <v>9</v>
      </c>
    </row>
    <row r="77">
      <c r="A77" s="13" t="inlineStr">
        <is>
          <t>Renewable Energy activities covered</t>
        </is>
      </c>
      <c r="B77" s="16" t="n">
        <v>8</v>
      </c>
    </row>
    <row r="78">
      <c r="A78" s="13" t="inlineStr">
        <is>
          <t>Total MySafeOps sectors now with dedicated hazard coverage</t>
        </is>
      </c>
      <c r="B78" s="16" t="n">
        <v>8</v>
      </c>
    </row>
    <row r="81">
      <c r="A81" s="15" t="inlineStr">
        <is>
          <t>Survey/Drone + Implementation Spec Pass</t>
        </is>
      </c>
    </row>
    <row r="82">
      <c r="A82" s="13" t="inlineStr">
        <is>
          <t>Survey &amp; Drone activities covered</t>
        </is>
      </c>
      <c r="B82" s="16" t="n">
        <v>15</v>
      </c>
    </row>
    <row r="83">
      <c r="A83" s="13" t="inlineStr">
        <is>
          <t>Sectors flagged as fully covered in Beyond FESS sheet</t>
        </is>
      </c>
      <c r="B83" s="16" t="n">
        <v>9</v>
      </c>
    </row>
    <row r="84">
      <c r="A84" s="13" t="inlineStr">
        <is>
          <t>Sectors still needing specialist SME validation</t>
        </is>
      </c>
      <c r="B84" s="16" t="inlineStr">
        <is>
          <t>Petrochemical, Wind (GWO content), Pharma cleanroom</t>
        </is>
      </c>
    </row>
    <row r="85">
      <c r="A85" s="13" t="inlineStr">
        <is>
          <t>Database tables specified for Cursor</t>
        </is>
      </c>
      <c r="B85" s="16" t="n">
        <v>7</v>
      </c>
    </row>
    <row r="86">
      <c r="A86" s="13" t="inlineStr">
        <is>
          <t>Recommended build order steps for Cursor</t>
        </is>
      </c>
      <c r="B86" s="16"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46" customWidth="1" min="3" max="3"/>
    <col width="50" customWidth="1" min="4" max="4"/>
  </cols>
  <sheetData>
    <row r="1" ht="26" customHeight="1">
      <c r="A1" s="17" t="inlineStr">
        <is>
          <t>Beyond FESS — Building a Multi-Client Hazard Library</t>
        </is>
      </c>
    </row>
    <row r="2" ht="18" customHeight="1">
      <c r="A2" s="18" t="inlineStr">
        <is>
          <t>This entire analysis was built from FESS's 22 documents. MySafeOps serves construction, surveying/drone, petrochemical, and utilities too — this sheet makes sure the hazard library generalises rather than staying FESS-shaped.</t>
        </is>
      </c>
    </row>
    <row r="3"/>
    <row r="4" ht="32" customHeight="1">
      <c r="A4" s="1" t="inlineStr">
        <is>
          <t>MySafeOps Sector</t>
        </is>
      </c>
      <c r="B4" s="1" t="inlineStr">
        <is>
          <t>Status vs This Analysis</t>
        </is>
      </c>
      <c r="C4" s="1" t="inlineStr">
        <is>
          <t>What This Analysis Already Covers (reusable)</t>
        </is>
      </c>
      <c r="D4" s="1" t="inlineStr">
        <is>
          <t>What Still Needs Its Own Build</t>
        </is>
      </c>
    </row>
    <row r="5">
      <c r="A5" s="2" t="inlineStr">
        <is>
          <t>Food / Pharma Manufacturing (via FESS)</t>
        </is>
      </c>
      <c r="B5" s="37" t="inlineStr">
        <is>
          <t>Deep coverage — this whole workbook</t>
        </is>
      </c>
      <c r="C5" s="2" t="inlineStr">
        <is>
          <t>Food safety block, COSHH, permits, LOLER, confined space, ATEX, legislation register — all reusable for any food manufacturing client, not just FESS</t>
        </is>
      </c>
      <c r="D5" s="2" t="inlineStr">
        <is>
          <t>Pharma cleanroom/GMP RAMS still needs its own build (flagged in Industries Coverage Map)</t>
        </is>
      </c>
    </row>
    <row r="6">
      <c r="A6" s="19" t="inlineStr">
        <is>
          <t>Construction (general contractors)</t>
        </is>
      </c>
      <c r="B6" s="38" t="inlineStr">
        <is>
          <t>NOT covered by this analysis</t>
        </is>
      </c>
      <c r="C6" s="19" t="inlineStr">
        <is>
          <t>CDM 2015 framework (flagged in Hazard Gap Register #26) is a starting point — construction clients will need this natively, not as an add-on</t>
        </is>
      </c>
      <c r="D6" s="19" t="inlineStr">
        <is>
          <t>Full construction-specific hazard set: groundworks/excavation, scaffolding erection (not just use), crane operations, temporary works, site security/fencing, general construction PPE/welfare standards</t>
        </is>
      </c>
    </row>
    <row r="7">
      <c r="A7" s="28" t="inlineStr">
        <is>
          <t>Surveying / Topographic / Drone Survey</t>
        </is>
      </c>
      <c r="B7" s="41" t="inlineStr">
        <is>
          <t>Now covered — new sheet added this pass</t>
        </is>
      </c>
      <c r="C7" s="28" t="inlineStr">
        <is>
          <t>Full survey/drone hazard set built (GPR/utility survey, topographic, UAV flight operations, point cloud/LiDAR, confined chamber access) — see Survey &amp; Drone Operations sheet</t>
        </is>
      </c>
      <c r="D7" s="28" t="inlineStr">
        <is>
          <t>Validate CAA operational category (A2 CofC vs GVC) against the actual drone operations MySafeOps's own survey work uses</t>
        </is>
      </c>
    </row>
    <row r="8">
      <c r="A8" s="2" t="inlineStr">
        <is>
          <t>Petrochemical (as an industry FESS also lists)</t>
        </is>
      </c>
      <c r="B8" s="37" t="inlineStr">
        <is>
          <t>Flagged as a gap, not yet built</t>
        </is>
      </c>
      <c r="C8" s="2" t="inlineStr">
        <is>
          <t>ATEX/DSEAR groundwork from the food-dust hazard entries is a useful starting reference point but is NOT sufficient for true petrochem hazardous area classification</t>
        </is>
      </c>
      <c r="D8" s="2" t="inlineStr">
        <is>
          <t>Full petrochemical hazardous area RAMS: proper zone 0/1/2 classification, H2S monitoring, static electricity/bonding for flammable liquid transfer, process safety management framework — build with a petrochem-experienced reviewer, not derived from food-sector ATEX alone</t>
        </is>
      </c>
    </row>
    <row r="9">
      <c r="A9" s="2" t="inlineStr">
        <is>
          <t>Utilities (water, energy)</t>
        </is>
      </c>
      <c r="B9" s="37" t="inlineStr">
        <is>
          <t>Partially touched via Legionella/RO water hazards</t>
        </is>
      </c>
      <c r="C9" s="2" t="inlineStr">
        <is>
          <t>Water hygiene, Legionella awareness, confined space entry all transfer directly</t>
        </is>
      </c>
      <c r="D9" s="2" t="inlineStr">
        <is>
          <t>Utilities-specific: excavation near buried services, electrical substation work, gas network work if in scope, energy sector-specific permit systems</t>
        </is>
      </c>
    </row>
    <row r="10">
      <c r="A10" s="28" t="inlineStr">
        <is>
          <t>Pet Food Manufacturing</t>
        </is>
      </c>
      <c r="B10" s="41" t="inlineStr">
        <is>
          <t>Now covered — new sheet added this pass</t>
        </is>
      </c>
      <c r="C10" s="28" t="inlineStr">
        <is>
          <t>Full production-process hazard set built (see Pet Food Production Hazards sheet)</t>
        </is>
      </c>
      <c r="D10" s="28" t="inlineStr">
        <is>
          <t>None outstanding from this pass — review with a pet food client directly to validate against FEDIAF standards if MySafeOps signs one</t>
        </is>
      </c>
    </row>
    <row r="11">
      <c r="A11" s="28" t="inlineStr">
        <is>
          <t>General Food &amp; Drink Production (non-FESS clients)</t>
        </is>
      </c>
      <c r="B11" s="41" t="inlineStr">
        <is>
          <t>Now covered — new sheet added this pass</t>
        </is>
      </c>
      <c r="C11" s="28" t="inlineStr">
        <is>
          <t>Meat/poultry, bakery, dairy, beverage production-line hazards built (see Food Production Line Hazards sheet)</t>
        </is>
      </c>
      <c r="D11" s="28" t="inlineStr">
        <is>
          <t>Validate against a real production-focused client (not a contractor) once MySafeOps has one — contractor and production-operator hazard profiles differ meaningfully</t>
        </is>
      </c>
    </row>
    <row r="12">
      <c r="A12" s="28" t="inlineStr">
        <is>
          <t>Warehousing &amp; Logistics</t>
        </is>
      </c>
      <c r="B12" s="41" t="inlineStr">
        <is>
          <t>Now covered — new sheet added this pass</t>
        </is>
      </c>
      <c r="C12" s="28" t="inlineStr">
        <is>
          <t>Full warehouse/distribution centre hazard set built (racking, FLT, mezzanine picking, peak season agency staff)</t>
        </is>
      </c>
      <c r="D12" s="28" t="inlineStr">
        <is>
          <t>Validate against a real 3PL/e-commerce client once MySafeOps has one</t>
        </is>
      </c>
    </row>
    <row r="13">
      <c r="A13" s="28" t="inlineStr">
        <is>
          <t>General Manufacturing &amp; Engineering</t>
        </is>
      </c>
      <c r="B13" s="41" t="inlineStr">
        <is>
          <t>Now covered — new sheet added this pass</t>
        </is>
      </c>
      <c r="C13" s="28" t="inlineStr">
        <is>
          <t>CNC, press brake, welding/fabrication, powder coating, overhead crane hazards built</t>
        </is>
      </c>
      <c r="D13" s="28" t="inlineStr">
        <is>
          <t>Sector-specific PUWER guarding standards vary by machine type — validate with an engineering client's specific equipment list</t>
        </is>
      </c>
    </row>
    <row r="14" ht="50" customHeight="1">
      <c r="A14" s="28" t="inlineStr">
        <is>
          <t>Waste &amp; Recycling</t>
        </is>
      </c>
      <c r="B14" s="68" t="n"/>
      <c r="C14" s="68" t="n"/>
      <c r="D14" s="61" t="n"/>
    </row>
    <row r="15">
      <c r="A15" s="28" t="inlineStr">
        <is>
          <t>Renewable Energy</t>
        </is>
      </c>
      <c r="B15" s="41" t="inlineStr">
        <is>
          <t>Now covered — new sheet added this pass</t>
        </is>
      </c>
      <c r="C15" s="28" t="inlineStr">
        <is>
          <t>Solar PV (roof and ground-mount), onshore wind, BESS, heat pump, substation hazards built</t>
        </is>
      </c>
      <c r="D15" s="28" t="inlineStr">
        <is>
          <t>Wind turbine work requires GWO-certified content validation — this is a specialist area, review with a wind sector SME before client-facing use</t>
        </is>
      </c>
    </row>
    <row r="16"/>
    <row r="17">
      <c r="A17" s="65" t="inlineStr">
        <is>
          <t>Key takeaway for Cursor:</t>
        </is>
      </c>
    </row>
    <row r="18">
      <c r="A18" s="66" t="inlineStr">
        <is>
          <t>Build the Smart RAMS Builder hazard library with a SECTOR field on every hazard entry (Food/Pharma, Construction, Survey, Petrochem, Utilities, Pet Food) rather than hard-coding it to FESS's job types. Everything in this workbook tagged 'Food/Pharma' is reusable across any food manufacturing client — the FESS-specific value is the 22 source documents and named permits/sites, not the underlying hazard logic.</t>
        </is>
      </c>
    </row>
    <row r="19">
      <c r="A19" s="28" t="inlineStr">
        <is>
          <t>Warehousing / Logistics / 3PL</t>
        </is>
      </c>
      <c r="B19" s="41" t="inlineStr">
        <is>
          <t>Now covered — new sheet added this pass</t>
        </is>
      </c>
      <c r="C19" s="28" t="inlineStr">
        <is>
          <t>Full warehouse hazard set built: racking, FLT, MHE, mezzanine, cold chain, ASRS, battery charging (see Warehousing &amp; Logistics sheet)</t>
        </is>
      </c>
      <c r="D19" s="28" t="inlineStr">
        <is>
          <t>Validate against a real distribution centre client once MySafeOps has one</t>
        </is>
      </c>
    </row>
    <row r="20">
      <c r="A20" s="28" t="inlineStr">
        <is>
          <t>General UK Manufacturing (metal, plastics, timber, print, textiles, recycling, brewing)</t>
        </is>
      </c>
      <c r="B20" s="41" t="inlineStr">
        <is>
          <t>Now covered — new sheet added this pass</t>
        </is>
      </c>
      <c r="C20" s="28" t="inlineStr">
        <is>
          <t>Full sector-by-sector hazard set built across 7 manufacturing sub-sectors (see UK Manufacturing Sectors sheet)</t>
        </is>
      </c>
      <c r="D20" s="28" t="inlineStr">
        <is>
          <t>None outstanding from this pass — deepen per sector once a specific client signs in that vertical</t>
        </is>
      </c>
    </row>
    <row r="21">
      <c r="A21" s="28" t="inlineStr">
        <is>
          <t>Renewable Energy &amp; Utilities (expanded)</t>
        </is>
      </c>
      <c r="B21" s="41" t="inlineStr">
        <is>
          <t>Now covered — new sheet added this pass</t>
        </is>
      </c>
      <c r="C21" s="28" t="inlineStr">
        <is>
          <t>Solar PV, wind turbine, BESS, grid/substation, cable jointing, water treatment, overhead line, heat pump hazards all built</t>
        </is>
      </c>
      <c r="D21" s="28" t="inlineStr">
        <is>
          <t>HV authorisation scheme and DNO-specific requirements should be validated with a utilities-sector reviewer before live client use</t>
        </is>
      </c>
    </row>
  </sheetData>
  <mergeCells count="3">
    <mergeCell ref="A2:E2"/>
    <mergeCell ref="A1:E1"/>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22" customWidth="1" min="1" max="1"/>
    <col width="48" customWidth="1" min="2" max="2"/>
    <col width="40" customWidth="1" min="3" max="3"/>
    <col width="50" customWidth="1" min="4" max="4"/>
  </cols>
  <sheetData>
    <row r="1" ht="26" customHeight="1">
      <c r="A1" s="17" t="inlineStr">
        <is>
          <t>Cursor Implementation Spec — Data Model</t>
        </is>
      </c>
    </row>
    <row r="2" ht="18" customHeight="1">
      <c r="A2" s="18" t="inlineStr">
        <is>
          <t>How to import this workbook into MySafeOps's Smart RAMS Builder — field mapping, not just reference reading</t>
        </is>
      </c>
    </row>
    <row r="4">
      <c r="A4" s="60" t="inlineStr">
        <is>
          <t>1. Suggested database table structure</t>
        </is>
      </c>
    </row>
    <row r="6" ht="32" customHeight="1">
      <c r="A6" s="1" t="inlineStr">
        <is>
          <t>Table</t>
        </is>
      </c>
      <c r="B6" s="1" t="inlineStr">
        <is>
          <t>Key Fields</t>
        </is>
      </c>
      <c r="C6" s="1" t="inlineStr">
        <is>
          <t>Source Sheet(s)</t>
        </is>
      </c>
      <c r="D6" s="1" t="inlineStr">
        <is>
          <t>Notes</t>
        </is>
      </c>
    </row>
    <row r="7">
      <c r="A7" s="7" t="inlineStr">
        <is>
          <t>hazard_library</t>
        </is>
      </c>
      <c r="B7" s="69" t="inlineStr">
        <is>
          <t>id, sector (enum), activity, hazard_description, likelihood, severity, risk_factor, control_measures, revised_likelihood, revised_severity, revised_risk_factor, risk_band (enum: LOW/MEDIUM/HIGH)</t>
        </is>
      </c>
      <c r="C7" s="7" t="inlineStr">
        <is>
          <t>Master Hazard Register, Hazard Gap Register, New RA Rows, Pet Food Production Hazards, Food Production Line Hazards, Warehousing &amp; Logistics, General Manufacturing, Waste &amp; Recycling, Renewable Energy, Survey &amp; Drone Operations</t>
        </is>
      </c>
      <c r="D7" s="7" t="inlineStr">
        <is>
          <t>The sector field is the critical addition — every hazard row across every sector sheet should land in ONE table with this discriminator, not separate tables per sector. This is what makes the library multi-client instead of FESS-shaped.</t>
        </is>
      </c>
    </row>
    <row r="8">
      <c r="A8" s="5" t="inlineStr">
        <is>
          <t>legislation_register</t>
        </is>
      </c>
      <c r="B8" s="70" t="inlineStr">
        <is>
          <t>id, regulation_name, applies_to, referenced_by_default (bool)</t>
        </is>
      </c>
      <c r="C8" s="5" t="inlineStr">
        <is>
          <t>Legislation &amp; Standards</t>
        </is>
      </c>
      <c r="D8" s="5" t="inlineStr">
        <is>
          <t>Link hazard_library rows to legislation_register via a join table (hazard_legislation_map) so a single hazard can cite multiple regulations</t>
        </is>
      </c>
    </row>
    <row r="9">
      <c r="A9" s="7" t="inlineStr">
        <is>
          <t>coshh_register</t>
        </is>
      </c>
      <c r="B9" s="69" t="inlineStr">
        <is>
          <t>id, org_id, substance_name, used_in_activity, ghs_classification, exposure_routes, health_effects, wel_limit, controls, first_aid, storage, disposal, health_surveillance_required (bool), msds_attached (bool)</t>
        </is>
      </c>
      <c r="C9" s="7" t="inlineStr">
        <is>
          <t>COSHH Register</t>
        </is>
      </c>
      <c r="D9" s="7" t="inlineStr">
        <is>
          <t>msds_attached should default to FALSE and block RAMS sign-off until a document is uploaded — this directly fixes the 'always marked NO' issue found in FESS's real documents</t>
        </is>
      </c>
    </row>
    <row r="10">
      <c r="A10" s="5" t="inlineStr">
        <is>
          <t>permit_types</t>
        </is>
      </c>
      <c r="B10" s="70" t="inlineStr">
        <is>
          <t>id, org_id, permit_name, status (enum), authorised_issuer_role, validity_duration, renewal_trigger, underpinning_ra_id (FK to hazard_library), escalation_procedure</t>
        </is>
      </c>
      <c r="C10" s="5" t="inlineStr">
        <is>
          <t>Permits Register</t>
        </is>
      </c>
      <c r="D10" s="5" t="inlineStr">
        <is>
          <t>Each active permit instance should snapshot its underpinning RA at time of issue, not just link live — so a later RA edit doesn't silently change a permit that's already been signed</t>
        </is>
      </c>
    </row>
    <row r="11">
      <c r="A11" s="7" t="inlineStr">
        <is>
          <t>statutory_inspections</t>
        </is>
      </c>
      <c r="B11" s="69" t="inlineStr">
        <is>
          <t>id, org_id, equipment_type, inspection_type, frequency_interval, regulation_ref, last_inspection_date, next_due_date (calculated)</t>
        </is>
      </c>
      <c r="C11" s="7" t="inlineStr">
        <is>
          <t>Statutory Inspections</t>
        </is>
      </c>
      <c r="D11" s="7" t="inlineStr">
        <is>
          <t>next_due_date should auto-calculate and feed the existing MySafeOps push notification system — this is a natural extension of infrastructure that likely already exists for other reminders</t>
        </is>
      </c>
    </row>
    <row r="12">
      <c r="A12" s="5" t="inlineStr">
        <is>
          <t>training_competency</t>
        </is>
      </c>
      <c r="B12" s="70" t="inlineStr">
        <is>
          <t>id, org_id, person_name, certification_name, date_achieved, expiry_date, verified (bool)</t>
        </is>
      </c>
      <c r="C12" s="5" t="inlineStr">
        <is>
          <t>Training &amp; Competency, Personnel Competency Tracker</t>
        </is>
      </c>
      <c r="D12" s="5" t="inlineStr">
        <is>
          <t>This should join against permit_types — a permit should not be issuable to a named person if their required certification is expired or unverified. This is the single highest-value automation in the whole spec.</t>
        </is>
      </c>
    </row>
    <row r="13">
      <c r="A13" s="7" t="inlineStr">
        <is>
          <t>toolbox_talks</t>
        </is>
      </c>
      <c r="B13" s="69" t="inlineStr">
        <is>
          <t>id, org_id, topic, linked_hazard_id (FK), suggested_frequency, audience_role, last_delivered_date, next_due_date</t>
        </is>
      </c>
      <c r="C13" s="7" t="inlineStr">
        <is>
          <t>Toolbox Talk Topics</t>
        </is>
      </c>
      <c r="D13" s="7" t="inlineStr">
        <is>
          <t>Simple recurring-task pattern, same shape as statutory_inspections</t>
        </is>
      </c>
    </row>
    <row r="14">
      <c r="A14" s="5" t="inlineStr">
        <is>
          <t>site_emergency_info</t>
        </is>
      </c>
      <c r="B14" s="70" t="inlineStr">
        <is>
          <t>id, org_id, site_name, client_name, nearest_ae_hospital, nearest_ae_lat_lng, first_aid_location, notes</t>
        </is>
      </c>
      <c r="C14" s="5" t="inlineStr">
        <is>
          <t>Site &amp; Emergency Info</t>
        </is>
      </c>
      <c r="D14" s="5" t="inlineStr">
        <is>
          <t>lat_lng fields enable the existing 'auto-populate nearest A&amp;E' feature to actually compute distance rather than relying on manually typed text — this is what caused the Surrey error in the source documents</t>
        </is>
      </c>
    </row>
    <row r="17">
      <c r="A17" s="60" t="inlineStr">
        <is>
          <t>2. Priority build order for Cursor (technical)</t>
        </is>
      </c>
    </row>
    <row r="18" ht="30" customHeight="1">
      <c r="A18" s="66" t="inlineStr">
        <is>
          <t>1. hazard_library table with sector field FIRST — every other table references this, and getting the sector discriminator right now avoids a painful migration later.</t>
        </is>
      </c>
    </row>
    <row r="19" ht="30" customHeight="1">
      <c r="A19" s="66" t="inlineStr">
        <is>
          <t>2. Import all hazard rows from every sector sheet in this workbook as seed data, tagged with the correct sector.</t>
        </is>
      </c>
    </row>
    <row r="20" ht="30" customHeight="1">
      <c r="A20" s="66" t="inlineStr">
        <is>
          <t>3. coshh_register + msds_attached blocking logic — this is a real compliance gap found in FESS's live documents, highest tangible risk reduction for the least build effort.</t>
        </is>
      </c>
    </row>
    <row r="21" ht="30" customHeight="1">
      <c r="A21" s="66" t="inlineStr">
        <is>
          <t>4. training_competency joined to permit_types — this is the single feature most likely to prevent an actual incident (unqualified person assigned to a job requiring a ticket they don't hold).</t>
        </is>
      </c>
    </row>
    <row r="22" ht="30" customHeight="1">
      <c r="A22" s="66" t="inlineStr">
        <is>
          <t>5. statutory_inspections and toolbox_talks — same recurring-reminder pattern, can likely reuse existing notification infrastructure.</t>
        </is>
      </c>
    </row>
    <row r="23" ht="30" customHeight="1">
      <c r="A23" s="66" t="inlineStr">
        <is>
          <t>6. site_emergency_info with lat/lng — small table, directly fixes a documented real error, quick to ship.</t>
        </is>
      </c>
    </row>
  </sheetData>
  <mergeCells count="10">
    <mergeCell ref="A21:E21"/>
    <mergeCell ref="A4:E4"/>
    <mergeCell ref="A20:E20"/>
    <mergeCell ref="A2:E2"/>
    <mergeCell ref="A19:E19"/>
    <mergeCell ref="A1:E1"/>
    <mergeCell ref="A23:E23"/>
    <mergeCell ref="A22:E22"/>
    <mergeCell ref="A17:E17"/>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14" customWidth="1" min="3" max="3"/>
    <col width="38" customWidth="1" min="4" max="4"/>
    <col width="38" customWidth="1" min="5" max="5"/>
    <col width="34" customWidth="1" min="6" max="6"/>
    <col width="12" customWidth="1" min="7" max="7"/>
  </cols>
  <sheetData>
    <row r="1" ht="26" customHeight="1">
      <c r="A1" s="17" t="inlineStr">
        <is>
          <t>FESS Group — Service Line RAMS Coverage</t>
        </is>
      </c>
    </row>
    <row r="2" ht="18" customHeight="1">
      <c r="A2" s="18" t="inlineStr">
        <is>
          <t>Every service line from fessgroup.co.uk mapped against current RAMS/hazard library coverage</t>
        </is>
      </c>
    </row>
    <row r="4" ht="32" customHeight="1">
      <c r="A4" s="1" t="inlineStr">
        <is>
          <t>Service Line (fessgroup.co.uk)</t>
        </is>
      </c>
      <c r="B4" s="1" t="inlineStr">
        <is>
          <t>Sub-Services</t>
        </is>
      </c>
      <c r="C4" s="1" t="inlineStr">
        <is>
          <t>RAMS Coverage Status</t>
        </is>
      </c>
      <c r="D4" s="1" t="inlineStr">
        <is>
          <t>Evidence in Existing 22 Docs</t>
        </is>
      </c>
      <c r="E4" s="1" t="inlineStr">
        <is>
          <t>Gap / What's Missing</t>
        </is>
      </c>
      <c r="F4" s="1" t="inlineStr">
        <is>
          <t>Recommended Smart RAMS Template</t>
        </is>
      </c>
      <c r="G4" s="1" t="inlineStr">
        <is>
          <t>Priority</t>
        </is>
      </c>
    </row>
    <row r="5">
      <c r="A5" s="19" t="inlineStr">
        <is>
          <t>High-Care Food Projects</t>
        </is>
      </c>
      <c r="B5" s="19" t="inlineStr">
        <is>
          <t>High-care/low-care zone works, hygienic design projects</t>
        </is>
      </c>
      <c r="C5" s="20" t="inlineStr">
        <is>
          <t>MISSING</t>
        </is>
      </c>
      <c r="D5" s="19" t="inlineStr">
        <is>
          <t>None — no RAMS mentions zone segregation, allergen control, or hygienic design</t>
        </is>
      </c>
      <c r="E5" s="19" t="inlineStr">
        <is>
          <t>No food-safety hazard block anywhere in current library</t>
        </is>
      </c>
      <c r="F5" s="19" t="inlineStr">
        <is>
          <t>Food Factory High-Care Zone Entry RAMS</t>
        </is>
      </c>
      <c r="G5" s="21" t="inlineStr">
        <is>
          <t>P1 - CRITICAL</t>
        </is>
      </c>
    </row>
    <row r="6">
      <c r="A6" s="2" t="inlineStr">
        <is>
          <t>Industrial Maintenance — Machine Maintenance</t>
        </is>
      </c>
      <c r="B6" s="2" t="inlineStr">
        <is>
          <t>PM cycles, condition checks, OEM repairs</t>
        </is>
      </c>
      <c r="C6" s="22" t="inlineStr">
        <is>
          <t>PARTIAL</t>
        </is>
      </c>
      <c r="D6" s="2" t="inlineStr">
        <is>
          <t>Spiral conveyor repair, kettletank removal show reactive maintenance activity</t>
        </is>
      </c>
      <c r="E6" s="2" t="inlineStr">
        <is>
          <t>No planned maintenance / isolation-for-maintenance specific RAMS; PUWER not referenced</t>
        </is>
      </c>
      <c r="F6" s="2" t="inlineStr">
        <is>
          <t>Planned Maintenance &amp; Machine Isolation RAMS</t>
        </is>
      </c>
      <c r="G6" s="23" t="inlineStr">
        <is>
          <t>P2</t>
        </is>
      </c>
    </row>
    <row r="7">
      <c r="A7" s="24" t="inlineStr">
        <is>
          <t>Industrial Maintenance — Agricultural Machinery</t>
        </is>
      </c>
      <c r="B7" s="24" t="inlineStr">
        <is>
          <t>Ag machinery maintenance</t>
        </is>
      </c>
      <c r="C7" s="25" t="inlineStr">
        <is>
          <t>N/A</t>
        </is>
      </c>
      <c r="D7" s="24" t="inlineStr">
        <is>
          <t>No evidence FESS applies this to current client base (all food mfg)</t>
        </is>
      </c>
      <c r="E7" s="24" t="inlineStr">
        <is>
          <t>Confirm with FESS if actively delivered — if yes, needs own RAMS</t>
        </is>
      </c>
      <c r="F7" s="24" t="inlineStr">
        <is>
          <t>Agricultural Machinery Maintenance RAMS (if active)</t>
        </is>
      </c>
      <c r="G7" s="26" t="inlineStr">
        <is>
          <t>P4</t>
        </is>
      </c>
    </row>
    <row r="8">
      <c r="A8" s="2" t="inlineStr">
        <is>
          <t>Industrial Maintenance — Heavy Machinery</t>
        </is>
      </c>
      <c r="B8" s="2" t="inlineStr">
        <is>
          <t>Heavy machinery maintenance</t>
        </is>
      </c>
      <c r="C8" s="22" t="inlineStr">
        <is>
          <t>PARTIAL</t>
        </is>
      </c>
      <c r="D8" s="2" t="inlineStr">
        <is>
          <t>5-6 tonne FLT and machinery relocation work touches this</t>
        </is>
      </c>
      <c r="E8" s="2" t="inlineStr">
        <is>
          <t>No heavy machinery-specific lifting/LOLER RAMS</t>
        </is>
      </c>
      <c r="F8" s="2" t="inlineStr">
        <is>
          <t>Heavy Machinery Maintenance &amp; Lifting RAMS</t>
        </is>
      </c>
      <c r="G8" s="23" t="inlineStr">
        <is>
          <t>P2</t>
        </is>
      </c>
    </row>
    <row r="9">
      <c r="A9" s="2" t="inlineStr">
        <is>
          <t>Lift and Shift — Equipment Relocation</t>
        </is>
      </c>
      <c r="B9" s="2" t="inlineStr">
        <is>
          <t>Machinery relocation, factory relocation, heavy equipment moving</t>
        </is>
      </c>
      <c r="C9" s="22" t="inlineStr">
        <is>
          <t>PARTIAL</t>
        </is>
      </c>
      <c r="D9" s="2" t="inlineStr">
        <is>
          <t>Butternut Box installation, Dovecoat Park placement/installation, tank relocation all evidence this</t>
        </is>
      </c>
      <c r="E9" s="2" t="inlineStr">
        <is>
          <t>No LOLER lift plan, no lifting equipment inspection record, no formal slinger/signaller competency check</t>
        </is>
      </c>
      <c r="F9" s="2" t="inlineStr">
        <is>
          <t>Machinery Installation &amp; Lifting (LOLER-integrated) RAMS</t>
        </is>
      </c>
      <c r="G9" s="27" t="inlineStr">
        <is>
          <t>P1 - CRITICAL</t>
        </is>
      </c>
    </row>
    <row r="10">
      <c r="A10" s="19" t="inlineStr">
        <is>
          <t>Lift and Shift — Industrial Lifting</t>
        </is>
      </c>
      <c r="B10" s="19" t="inlineStr">
        <is>
          <t>Crane/lifting operations</t>
        </is>
      </c>
      <c r="C10" s="20" t="inlineStr">
        <is>
          <t>MISSING</t>
        </is>
      </c>
      <c r="D10" s="19" t="inlineStr">
        <is>
          <t>Referenced only via FLT use — no crane/rigging RAMS present</t>
        </is>
      </c>
      <c r="E10" s="19" t="inlineStr">
        <is>
          <t>No lift plan template, no exclusion zone/load path RA</t>
        </is>
      </c>
      <c r="F10" s="19" t="inlineStr">
        <is>
          <t>Lifting Operations RAMS + Lift Plan template</t>
        </is>
      </c>
      <c r="G10" s="21" t="inlineStr">
        <is>
          <t>P1 - CRITICAL</t>
        </is>
      </c>
    </row>
    <row r="11">
      <c r="A11" s="28" t="inlineStr">
        <is>
          <t>M&amp;E Services — Electrical Installation</t>
        </is>
      </c>
      <c r="B11" s="28" t="inlineStr">
        <is>
          <t>Industrial electrical installation</t>
        </is>
      </c>
      <c r="C11" s="29" t="inlineStr">
        <is>
          <t>COVERED</t>
        </is>
      </c>
      <c r="D11" s="28" t="inlineStr">
        <is>
          <t>Strong coverage: isolation, live testing, wiring connection, PAT testing all present across all docs</t>
        </is>
      </c>
      <c r="E11" s="28" t="inlineStr">
        <is>
          <t>Minor: no arc-flash assessment for panel work</t>
        </is>
      </c>
      <c r="F11" s="28" t="inlineStr">
        <is>
          <t>Existing electrical RAMS + add arc-flash section</t>
        </is>
      </c>
      <c r="G11" s="30" t="inlineStr">
        <is>
          <t>P3</t>
        </is>
      </c>
    </row>
    <row r="12">
      <c r="A12" s="28" t="inlineStr">
        <is>
          <t>M&amp;E Services — Mechanical Maintenance</t>
        </is>
      </c>
      <c r="B12" s="28" t="inlineStr">
        <is>
          <t>Industrial mechanical maintenance</t>
        </is>
      </c>
      <c r="C12" s="29" t="inlineStr">
        <is>
          <t>COVERED</t>
        </is>
      </c>
      <c r="D12" s="28" t="inlineStr">
        <is>
          <t>Good coverage via pipe changeover, pressure testing, cutting/drilling RAMS</t>
        </is>
      </c>
      <c r="E12" s="28" t="inlineStr">
        <is>
          <t>No PUWER guarding verification step</t>
        </is>
      </c>
      <c r="F12" s="28" t="inlineStr">
        <is>
          <t>Add PUWER check to mechanical RAMS</t>
        </is>
      </c>
      <c r="G12" s="30" t="inlineStr">
        <is>
          <t>P3</t>
        </is>
      </c>
    </row>
    <row r="13">
      <c r="A13" s="2" t="inlineStr">
        <is>
          <t>M&amp;E Services — Facilities Maintenance</t>
        </is>
      </c>
      <c r="B13" s="2" t="inlineStr">
        <is>
          <t>Industrial facilities maintenance</t>
        </is>
      </c>
      <c r="C13" s="22" t="inlineStr">
        <is>
          <t>PARTIAL</t>
        </is>
      </c>
      <c r="D13" s="2" t="inlineStr">
        <is>
          <t>General site work RAMS covers some of this</t>
        </is>
      </c>
      <c r="E13" s="2" t="inlineStr">
        <is>
          <t>No building fabric hazards (asbestos, roof access, fragile surfaces)</t>
        </is>
      </c>
      <c r="F13" s="2" t="inlineStr">
        <is>
          <t>Facilities Maintenance RAMS incl. asbestos check</t>
        </is>
      </c>
      <c r="G13" s="23" t="inlineStr">
        <is>
          <t>P2</t>
        </is>
      </c>
    </row>
    <row r="14">
      <c r="A14" s="19" t="inlineStr">
        <is>
          <t>M&amp;E Services — Inspection Services</t>
        </is>
      </c>
      <c r="B14" s="19" t="inlineStr">
        <is>
          <t>Industrial inspection</t>
        </is>
      </c>
      <c r="C14" s="20" t="inlineStr">
        <is>
          <t>MISSING</t>
        </is>
      </c>
      <c r="D14" s="19" t="inlineStr">
        <is>
          <t>No inspection-specific RAMS in the 22 documents</t>
        </is>
      </c>
      <c r="E14" s="19" t="inlineStr">
        <is>
          <t>No LOLER/PUWER inspection RAMS, no thermal imaging/insulation testing RAMS</t>
        </is>
      </c>
      <c r="F14" s="19" t="inlineStr">
        <is>
          <t>Inspection &amp; Testing RAMS</t>
        </is>
      </c>
      <c r="G14" s="31" t="inlineStr">
        <is>
          <t>P2</t>
        </is>
      </c>
    </row>
    <row r="15">
      <c r="A15" s="2" t="inlineStr">
        <is>
          <t>M&amp;E Services — Food Industry Maintenance</t>
        </is>
      </c>
      <c r="B15" s="2" t="inlineStr">
        <is>
          <t>Maintenance specific to food industry</t>
        </is>
      </c>
      <c r="C15" s="22" t="inlineStr">
        <is>
          <t>PARTIAL</t>
        </is>
      </c>
      <c r="D15" s="2" t="inlineStr">
        <is>
          <t>Most of the 22 docs sit here by client, but none reference food-safety controls</t>
        </is>
      </c>
      <c r="E15" s="2" t="inlineStr">
        <is>
          <t>Food safety block missing (see Food row above) — same root gap</t>
        </is>
      </c>
      <c r="F15" s="2" t="inlineStr">
        <is>
          <t>Merge with High-Care Food Projects RAMS</t>
        </is>
      </c>
      <c r="G15" s="27" t="inlineStr">
        <is>
          <t>P1 - CRITICAL</t>
        </is>
      </c>
    </row>
    <row r="16">
      <c r="A16" s="19" t="inlineStr">
        <is>
          <t>Industrial Construction — CDM Services</t>
        </is>
      </c>
      <c r="B16" s="19" t="inlineStr">
        <is>
          <t>CDM for food manufacturing</t>
        </is>
      </c>
      <c r="C16" s="20" t="inlineStr">
        <is>
          <t>MISSING</t>
        </is>
      </c>
      <c r="D16" s="19" t="inlineStr">
        <is>
          <t>No CDM roles, Principal Contractor/Designer duties, or construction phase plan referenced anywhere</t>
        </is>
      </c>
      <c r="E16" s="19" t="inlineStr">
        <is>
          <t>No CDM 2015 compliance framework in MySafeOps for FESS despite this being a named service</t>
        </is>
      </c>
      <c r="F16" s="19" t="inlineStr">
        <is>
          <t>CDM Construction Phase Plan module</t>
        </is>
      </c>
      <c r="G16" s="21" t="inlineStr">
        <is>
          <t>P1 - CRITICAL</t>
        </is>
      </c>
    </row>
    <row r="17">
      <c r="A17" s="24" t="inlineStr">
        <is>
          <t>Industrial Construction — Project Management</t>
        </is>
      </c>
      <c r="B17" s="24" t="inlineStr">
        <is>
          <t>Project management &amp; consultancy</t>
        </is>
      </c>
      <c r="C17" s="25" t="inlineStr">
        <is>
          <t>N/A</t>
        </is>
      </c>
      <c r="D17" s="24" t="inlineStr">
        <is>
          <t>Management service, not a site-hazard RAMS</t>
        </is>
      </c>
      <c r="E17" s="24" t="inlineStr">
        <is>
          <t>N/A — governance/process gap not hazard gap</t>
        </is>
      </c>
      <c r="F17" s="24" t="inlineStr">
        <is>
          <t>Project H&amp;S file / documentation workflow</t>
        </is>
      </c>
      <c r="G17" s="26" t="inlineStr">
        <is>
          <t>P3</t>
        </is>
      </c>
    </row>
    <row r="18">
      <c r="A18" s="19" t="inlineStr">
        <is>
          <t>Production Efficiency — SCADA Dashboards</t>
        </is>
      </c>
      <c r="B18" s="19" t="inlineStr">
        <is>
          <t>SCADA systems for food manufacturing</t>
        </is>
      </c>
      <c r="C18" s="20" t="inlineStr">
        <is>
          <t>MISSING</t>
        </is>
      </c>
      <c r="D18" s="19" t="inlineStr">
        <is>
          <t>Zero RAMS coverage for SCADA/software/network commissioning work</t>
        </is>
      </c>
      <c r="E18" s="19" t="inlineStr">
        <is>
          <t>No control system commissioning RA, no network cabling in live production RA</t>
        </is>
      </c>
      <c r="F18" s="19" t="inlineStr">
        <is>
          <t>SCADA/Controls Commissioning RAMS</t>
        </is>
      </c>
      <c r="G18" s="31" t="inlineStr">
        <is>
          <t>P2</t>
        </is>
      </c>
    </row>
    <row r="19">
      <c r="A19" s="19" t="inlineStr">
        <is>
          <t>Production Efficiency — Control Panel Design &amp; Manufacture</t>
        </is>
      </c>
      <c r="B19" s="19" t="inlineStr">
        <is>
          <t>Control panel build and install</t>
        </is>
      </c>
      <c r="C19" s="20" t="inlineStr">
        <is>
          <t>MISSING</t>
        </is>
      </c>
      <c r="D19" s="19" t="inlineStr">
        <is>
          <t>No panel-building or panel-install RAMS present</t>
        </is>
      </c>
      <c r="E19" s="19" t="inlineStr">
        <is>
          <t>No arc flash, no live panel working, no lockout for panel commissioning</t>
        </is>
      </c>
      <c r="F19" s="19" t="inlineStr">
        <is>
          <t>Control Panel Install &amp; Live Working RAMS</t>
        </is>
      </c>
      <c r="G19" s="21" t="inlineStr">
        <is>
          <t>P1 - CRITICAL</t>
        </is>
      </c>
    </row>
    <row r="20">
      <c r="A20" s="19" t="inlineStr">
        <is>
          <t>Production Efficiency — Process Automation</t>
        </is>
      </c>
      <c r="B20" s="19" t="inlineStr">
        <is>
          <t>Process automation &amp; control systems</t>
        </is>
      </c>
      <c r="C20" s="20" t="inlineStr">
        <is>
          <t>MISSING</t>
        </is>
      </c>
      <c r="D20" s="19" t="inlineStr">
        <is>
          <t>No automation-specific RAMS</t>
        </is>
      </c>
      <c r="E20" s="19" t="inlineStr">
        <is>
          <t>No robot/automated line guarding RA, no PLC change-control RA</t>
        </is>
      </c>
      <c r="F20" s="19" t="inlineStr">
        <is>
          <t>Process Automation Commissioning RAMS</t>
        </is>
      </c>
      <c r="G20" s="31" t="inlineStr">
        <is>
          <t>P2</t>
        </is>
      </c>
    </row>
    <row r="21">
      <c r="A21" s="19" t="inlineStr">
        <is>
          <t>Industrial Process Solutions — Multihead Weigher</t>
        </is>
      </c>
      <c r="B21" s="19" t="inlineStr">
        <is>
          <t>Weigher install/maintenance</t>
        </is>
      </c>
      <c r="C21" s="20" t="inlineStr">
        <is>
          <t>MISSING</t>
        </is>
      </c>
      <c r="D21" s="19" t="inlineStr">
        <is>
          <t>Not evidenced in the 22 docs</t>
        </is>
      </c>
      <c r="E21" s="19" t="inlineStr">
        <is>
          <t>No weigher-specific RAMS (moving parts, calibration access)</t>
        </is>
      </c>
      <c r="F21" s="19" t="inlineStr">
        <is>
          <t>Multihead Weigher Install/Maintenance RAMS</t>
        </is>
      </c>
      <c r="G21" s="31" t="inlineStr">
        <is>
          <t>P2</t>
        </is>
      </c>
    </row>
    <row r="22">
      <c r="A22" s="2" t="inlineStr">
        <is>
          <t>Industrial Process Solutions — Conveyor Belts</t>
        </is>
      </c>
      <c r="B22" s="2" t="inlineStr">
        <is>
          <t>Conveyor install/maintenance</t>
        </is>
      </c>
      <c r="C22" s="22" t="inlineStr">
        <is>
          <t>PARTIAL</t>
        </is>
      </c>
      <c r="D22" s="2" t="inlineStr">
        <is>
          <t>Spiral conveyor repair/callout at Butternut Box evidences this</t>
        </is>
      </c>
      <c r="E22" s="2" t="inlineStr">
        <is>
          <t>No nip-point/entanglement-specific RA, no guarding re-fit verification step</t>
        </is>
      </c>
      <c r="F22" s="2" t="inlineStr">
        <is>
          <t>Conveyor Installation &amp; Maintenance RAMS (nip-point focus)</t>
        </is>
      </c>
      <c r="G22" s="27" t="inlineStr">
        <is>
          <t>P1 - CRITICAL</t>
        </is>
      </c>
    </row>
    <row r="23">
      <c r="A23" s="19" t="inlineStr">
        <is>
          <t>Industrial Process Solutions — Industrial Control Panels</t>
        </is>
      </c>
      <c r="B23" s="19" t="inlineStr">
        <is>
          <t>Panel supply/install</t>
        </is>
      </c>
      <c r="C23" s="20" t="inlineStr">
        <is>
          <t>MISSING</t>
        </is>
      </c>
      <c r="D23" s="19" t="inlineStr">
        <is>
          <t>Same gap as Control Panel Design above</t>
        </is>
      </c>
      <c r="E23" s="19" t="inlineStr">
        <is>
          <t>Duplicate of P1 item above — consolidate</t>
        </is>
      </c>
      <c r="F23" s="19" t="inlineStr">
        <is>
          <t>Merge with Control Panel RAMS</t>
        </is>
      </c>
      <c r="G23" s="21" t="inlineStr">
        <is>
          <t>P1 - CRITICAL</t>
        </is>
      </c>
    </row>
    <row r="24">
      <c r="A24" s="19" t="inlineStr">
        <is>
          <t>Industrial Process Solutions — Packaging (End of Line)</t>
        </is>
      </c>
      <c r="B24" s="19" t="inlineStr">
        <is>
          <t>Packaging line install</t>
        </is>
      </c>
      <c r="C24" s="20" t="inlineStr">
        <is>
          <t>MISSING</t>
        </is>
      </c>
      <c r="D24" s="19" t="inlineStr">
        <is>
          <t>Not evidenced</t>
        </is>
      </c>
      <c r="E24" s="19" t="inlineStr">
        <is>
          <t>No packaging line RAMS (moving machinery, product handling)</t>
        </is>
      </c>
      <c r="F24" s="19" t="inlineStr">
        <is>
          <t>Packaging Line Install/Maintenance RAMS</t>
        </is>
      </c>
      <c r="G24" s="31" t="inlineStr">
        <is>
          <t>P2</t>
        </is>
      </c>
    </row>
    <row r="25">
      <c r="A25" s="19" t="inlineStr">
        <is>
          <t>Industrial Process Solutions — Metal Detection</t>
        </is>
      </c>
      <c r="B25" s="19" t="inlineStr">
        <is>
          <t>Metal detection inspection systems</t>
        </is>
      </c>
      <c r="C25" s="20" t="inlineStr">
        <is>
          <t>MISSING</t>
        </is>
      </c>
      <c r="D25" s="19" t="inlineStr">
        <is>
          <t>Not evidenced</t>
        </is>
      </c>
      <c r="E25" s="19" t="inlineStr">
        <is>
          <t>No commissioning/calibration RAMS for detection equipment</t>
        </is>
      </c>
      <c r="F25" s="19" t="inlineStr">
        <is>
          <t>Metal Detection System Install RAMS</t>
        </is>
      </c>
      <c r="G25" s="32" t="inlineStr">
        <is>
          <t>P3</t>
        </is>
      </c>
    </row>
    <row r="26">
      <c r="A26" s="19" t="inlineStr">
        <is>
          <t>Utilities and Sustainability</t>
        </is>
      </c>
      <c r="B26" s="19" t="inlineStr">
        <is>
          <t>Utilities &amp; sustainability projects, ISO 50001</t>
        </is>
      </c>
      <c r="C26" s="20" t="inlineStr">
        <is>
          <t>MISSING</t>
        </is>
      </c>
      <c r="D26" s="19" t="inlineStr">
        <is>
          <t>RO installation/RO room works touch utilities but no sustainability-specific framing</t>
        </is>
      </c>
      <c r="E26" s="19" t="inlineStr">
        <is>
          <t>No energy system isolation RA, no water/utilities-specific RA beyond RO</t>
        </is>
      </c>
      <c r="F26" s="19" t="inlineStr">
        <is>
          <t>Utilities System Works RAMS</t>
        </is>
      </c>
      <c r="G26" s="31" t="inlineStr">
        <is>
          <t>P2</t>
        </is>
      </c>
    </row>
    <row r="27">
      <c r="A27" s="2" t="inlineStr">
        <is>
          <t>Health and Safety (as a FESS service)</t>
        </is>
      </c>
      <c r="B27" s="2" t="inlineStr">
        <is>
          <t>H&amp;S consultancy service they sell to clients</t>
        </is>
      </c>
      <c r="C27" s="22" t="inlineStr">
        <is>
          <t>PARTIAL</t>
        </is>
      </c>
      <c r="D27" s="2" t="inlineStr">
        <is>
          <t>This is literally what MySafeOps digitises — strong alignment opportunity</t>
        </is>
      </c>
      <c r="E27" s="2" t="inlineStr">
        <is>
          <t>Positioning gap, not hazard gap — FESS could resell MySafeOps-backed H&amp;S service</t>
        </is>
      </c>
      <c r="F27" s="2" t="inlineStr">
        <is>
          <t>N/A — commercial opportunity, flag separately</t>
        </is>
      </c>
      <c r="G27" s="33" t="inlineStr">
        <is>
          <t>Opportunity</t>
        </is>
      </c>
    </row>
  </sheetData>
  <autoFilter ref="A4:G27"/>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16" customWidth="1" min="1" max="1"/>
    <col width="32" customWidth="1" min="2" max="2"/>
    <col width="34" customWidth="1" min="3" max="3"/>
    <col width="44" customWidth="1" min="4" max="4"/>
    <col width="40" customWidth="1" min="5" max="5"/>
  </cols>
  <sheetData>
    <row r="1" ht="26" customHeight="1">
      <c r="A1" s="17" t="inlineStr">
        <is>
          <t>FESS Group — Industry Vertical Hazard Coverage</t>
        </is>
      </c>
    </row>
    <row r="2" ht="18" customHeight="1">
      <c r="A2" s="18" t="inlineStr">
        <is>
          <t>Each industry FESS serves, with industry-specific hazards not currently in the RAMS library</t>
        </is>
      </c>
    </row>
    <row r="4" ht="32" customHeight="1">
      <c r="A4" s="1" t="inlineStr">
        <is>
          <t>Industry (fessgroup.co.uk)</t>
        </is>
      </c>
      <c r="B4" s="1" t="inlineStr">
        <is>
          <t>Known FESS Clients in this Vertical</t>
        </is>
      </c>
      <c r="C4" s="1" t="inlineStr">
        <is>
          <t>Industry-Specific Hazards Currently Covered</t>
        </is>
      </c>
      <c r="D4" s="1" t="inlineStr">
        <is>
          <t>Industry-Specific Hazards MISSING</t>
        </is>
      </c>
      <c r="E4" s="1" t="inlineStr">
        <is>
          <t>Recommended Additions</t>
        </is>
      </c>
    </row>
    <row r="5">
      <c r="A5" s="2" t="inlineStr">
        <is>
          <t>Food and Drink</t>
        </is>
      </c>
      <c r="B5" s="2" t="inlineStr">
        <is>
          <t>2 Sisters (2SFG), ABP, Cranswick, Fox's, Morrisons, Avara Foods, Thistle Seafoods, Tofoo, Kara</t>
        </is>
      </c>
      <c r="C5" s="2" t="inlineStr">
        <is>
          <t>Manual handling, electrical isolation, working at height, hot work, pressure testing</t>
        </is>
      </c>
      <c r="D5" s="2" t="inlineStr">
        <is>
          <t>Allergen control, foreign body/G&amp;HP policy, high-care/low-care segregation, ATEX dust (flour/protein), food-grade lubricants, HACCP awareness</t>
        </is>
      </c>
      <c r="E5" s="2" t="inlineStr">
        <is>
          <t>Food Factory High-Care Zone Entry RAMS (see Services sheet, P1)</t>
        </is>
      </c>
    </row>
    <row r="6">
      <c r="A6" s="2" t="inlineStr">
        <is>
          <t>Pet Food</t>
        </is>
      </c>
      <c r="B6" s="2" t="inlineStr">
        <is>
          <t>Butternut Box, Baileys Turkeys (poultry-adjacent), Karro</t>
        </is>
      </c>
      <c r="C6" s="2" t="inlineStr">
        <is>
          <t>Manual handling, machinery installation (Variovac, spiral conveyor)</t>
        </is>
      </c>
      <c r="D6" s="2" t="inlineStr">
        <is>
          <t>Same allergen/foreign body gaps as Food &amp; Drink; raw material handling (meat/offal) biological hazard not addressed; rendering/process odour and biological exposure</t>
        </is>
      </c>
      <c r="E6" s="2" t="inlineStr">
        <is>
          <t>Extend Food Factory High-Care RAMS to Pet Food; add biological/raw material handling RA</t>
        </is>
      </c>
    </row>
    <row r="7">
      <c r="A7" s="19" t="inlineStr">
        <is>
          <t>Petrochemical</t>
        </is>
      </c>
      <c r="B7" s="19" t="inlineStr">
        <is>
          <t>Not directly evidenced in the 22 docs, but listed as an active FESS industry</t>
        </is>
      </c>
      <c r="C7" s="19" t="inlineStr">
        <is>
          <t>None currently — no petrochemical site RAMS exists in the sample</t>
        </is>
      </c>
      <c r="D7" s="19" t="inlineStr">
        <is>
          <t>Flammable atmosphere/ATEX (proper petrochem-grade, not just food-dust ATEX), H2S and toxic gas exposure, hot work in hazardous area classification zones, static electricity control, PPE for chemical exposure (Cranswick pipe changeover is the closest analogue but is food-chemical, not petrochem)</t>
        </is>
      </c>
      <c r="E7" s="19" t="inlineStr">
        <is>
          <t>New: Petrochemical Site Entry &amp; Hazardous Area RAMS — build before FESS takes on a petrochem job, not after</t>
        </is>
      </c>
    </row>
    <row r="8">
      <c r="A8" s="19" t="inlineStr">
        <is>
          <t>Pharmaceutical</t>
        </is>
      </c>
      <c r="B8" s="19" t="inlineStr">
        <is>
          <t>Not directly evidenced in the 22 docs, but listed as an active FESS industry</t>
        </is>
      </c>
      <c r="C8" s="19" t="inlineStr">
        <is>
          <t>None currently</t>
        </is>
      </c>
      <c r="D8" s="19" t="inlineStr">
        <is>
          <t>Cleanroom/GMP protocols, cross-contamination control, controlled substance handling, validated equipment change control, static-sensitive environment controls</t>
        </is>
      </c>
      <c r="E8" s="19" t="inlineStr">
        <is>
          <t>New: Pharmaceutical Cleanroom Works RAMS — same logic, needed before FESS starts a pharma job, not after</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6" customHeight="1">
      <c r="A1" s="17" t="inlineStr">
        <is>
          <t>Service Line × Hazard Category Cross-Reference</t>
        </is>
      </c>
    </row>
    <row r="2" ht="18" customHeight="1">
      <c r="A2" s="18" t="inlineStr">
        <is>
          <t>Heat-map style matrix — which hazard categories apply to which FESS service line</t>
        </is>
      </c>
    </row>
    <row r="4" ht="32" customHeight="1">
      <c r="A4" s="1" t="inlineStr">
        <is>
          <t>Service Line \ Hazard Category</t>
        </is>
      </c>
      <c r="B4" s="1" t="inlineStr">
        <is>
          <t>Food Safety</t>
        </is>
      </c>
      <c r="C4" s="1" t="inlineStr">
        <is>
          <t>Electrical</t>
        </is>
      </c>
      <c r="D4" s="1" t="inlineStr">
        <is>
          <t>Lifting/LOLER</t>
        </is>
      </c>
      <c r="E4" s="1" t="inlineStr">
        <is>
          <t>Confined Space</t>
        </is>
      </c>
      <c r="F4" s="1" t="inlineStr">
        <is>
          <t>ATEX/Dust</t>
        </is>
      </c>
      <c r="G4" s="1" t="inlineStr">
        <is>
          <t>Refrigerant</t>
        </is>
      </c>
      <c r="H4" s="1" t="inlineStr">
        <is>
          <t>HAVS/Vibration</t>
        </is>
      </c>
      <c r="I4" s="1" t="inlineStr">
        <is>
          <t>Asbestos</t>
        </is>
      </c>
      <c r="J4" s="1" t="inlineStr">
        <is>
          <t>CDM</t>
        </is>
      </c>
      <c r="K4" s="1" t="inlineStr">
        <is>
          <t>Arc Flash</t>
        </is>
      </c>
    </row>
    <row r="5">
      <c r="A5" s="45" t="inlineStr">
        <is>
          <t>High-Care Food</t>
        </is>
      </c>
      <c r="B5" s="21" t="inlineStr">
        <is>
          <t>●</t>
        </is>
      </c>
      <c r="C5" s="23" t="inlineStr">
        <is>
          <t>◐</t>
        </is>
      </c>
      <c r="D5" s="46" t="inlineStr"/>
      <c r="E5" s="46" t="inlineStr"/>
      <c r="F5" s="23" t="inlineStr">
        <is>
          <t>◐</t>
        </is>
      </c>
      <c r="G5" s="46" t="inlineStr"/>
      <c r="H5" s="46" t="inlineStr"/>
      <c r="I5" s="46" t="inlineStr"/>
      <c r="J5" s="46" t="inlineStr"/>
      <c r="K5" s="46" t="inlineStr"/>
    </row>
    <row r="6">
      <c r="A6" s="45" t="inlineStr">
        <is>
          <t>Lift &amp; Shift</t>
        </is>
      </c>
      <c r="B6" s="23" t="inlineStr">
        <is>
          <t>◐</t>
        </is>
      </c>
      <c r="C6" s="23" t="inlineStr">
        <is>
          <t>◐</t>
        </is>
      </c>
      <c r="D6" s="21" t="inlineStr">
        <is>
          <t>●</t>
        </is>
      </c>
      <c r="E6" s="23" t="inlineStr">
        <is>
          <t>◐</t>
        </is>
      </c>
      <c r="F6" s="46" t="inlineStr"/>
      <c r="G6" s="46" t="inlineStr"/>
      <c r="H6" s="23" t="inlineStr">
        <is>
          <t>◐</t>
        </is>
      </c>
      <c r="I6" s="23" t="inlineStr">
        <is>
          <t>◐</t>
        </is>
      </c>
      <c r="J6" s="23" t="inlineStr">
        <is>
          <t>◐</t>
        </is>
      </c>
      <c r="K6" s="46" t="inlineStr"/>
    </row>
    <row r="7">
      <c r="A7" s="45" t="inlineStr">
        <is>
          <t>M&amp;E Electrical</t>
        </is>
      </c>
      <c r="B7" s="23" t="inlineStr">
        <is>
          <t>◐</t>
        </is>
      </c>
      <c r="C7" s="21" t="inlineStr">
        <is>
          <t>●</t>
        </is>
      </c>
      <c r="D7" s="46" t="inlineStr"/>
      <c r="E7" s="23" t="inlineStr">
        <is>
          <t>◐</t>
        </is>
      </c>
      <c r="F7" s="46" t="inlineStr"/>
      <c r="G7" s="46" t="inlineStr"/>
      <c r="H7" s="23" t="inlineStr">
        <is>
          <t>◐</t>
        </is>
      </c>
      <c r="I7" s="46" t="inlineStr"/>
      <c r="J7" s="23" t="inlineStr">
        <is>
          <t>◐</t>
        </is>
      </c>
      <c r="K7" s="21" t="inlineStr">
        <is>
          <t>●</t>
        </is>
      </c>
    </row>
    <row r="8">
      <c r="A8" s="45" t="inlineStr">
        <is>
          <t>M&amp;E Mechanical</t>
        </is>
      </c>
      <c r="B8" s="23" t="inlineStr">
        <is>
          <t>◐</t>
        </is>
      </c>
      <c r="C8" s="23" t="inlineStr">
        <is>
          <t>◐</t>
        </is>
      </c>
      <c r="D8" s="23" t="inlineStr">
        <is>
          <t>◐</t>
        </is>
      </c>
      <c r="E8" s="23" t="inlineStr">
        <is>
          <t>◐</t>
        </is>
      </c>
      <c r="F8" s="23" t="inlineStr">
        <is>
          <t>◐</t>
        </is>
      </c>
      <c r="G8" s="23" t="inlineStr">
        <is>
          <t>◐</t>
        </is>
      </c>
      <c r="H8" s="21" t="inlineStr">
        <is>
          <t>●</t>
        </is>
      </c>
      <c r="I8" s="23" t="inlineStr">
        <is>
          <t>◐</t>
        </is>
      </c>
      <c r="J8" s="23" t="inlineStr">
        <is>
          <t>◐</t>
        </is>
      </c>
      <c r="K8" s="46" t="inlineStr"/>
    </row>
    <row r="9">
      <c r="A9" s="45" t="inlineStr">
        <is>
          <t>CDM Construction</t>
        </is>
      </c>
      <c r="B9" s="23" t="inlineStr">
        <is>
          <t>◐</t>
        </is>
      </c>
      <c r="C9" s="23" t="inlineStr">
        <is>
          <t>◐</t>
        </is>
      </c>
      <c r="D9" s="23" t="inlineStr">
        <is>
          <t>◐</t>
        </is>
      </c>
      <c r="E9" s="23" t="inlineStr">
        <is>
          <t>◐</t>
        </is>
      </c>
      <c r="F9" s="23" t="inlineStr">
        <is>
          <t>◐</t>
        </is>
      </c>
      <c r="G9" s="46" t="inlineStr"/>
      <c r="H9" s="23" t="inlineStr">
        <is>
          <t>◐</t>
        </is>
      </c>
      <c r="I9" s="21" t="inlineStr">
        <is>
          <t>●</t>
        </is>
      </c>
      <c r="J9" s="21" t="inlineStr">
        <is>
          <t>●</t>
        </is>
      </c>
      <c r="K9" s="46" t="inlineStr"/>
    </row>
    <row r="10">
      <c r="A10" s="45" t="inlineStr">
        <is>
          <t>SCADA/Automation</t>
        </is>
      </c>
      <c r="B10" s="46" t="inlineStr"/>
      <c r="C10" s="21" t="inlineStr">
        <is>
          <t>●</t>
        </is>
      </c>
      <c r="D10" s="46" t="inlineStr"/>
      <c r="E10" s="46" t="inlineStr"/>
      <c r="F10" s="46" t="inlineStr"/>
      <c r="G10" s="46" t="inlineStr"/>
      <c r="H10" s="46" t="inlineStr"/>
      <c r="I10" s="46" t="inlineStr"/>
      <c r="J10" s="23" t="inlineStr">
        <is>
          <t>◐</t>
        </is>
      </c>
      <c r="K10" s="21" t="inlineStr">
        <is>
          <t>●</t>
        </is>
      </c>
    </row>
    <row r="11">
      <c r="A11" s="45" t="inlineStr">
        <is>
          <t>Control Panels</t>
        </is>
      </c>
      <c r="B11" s="46" t="inlineStr"/>
      <c r="C11" s="21" t="inlineStr">
        <is>
          <t>●</t>
        </is>
      </c>
      <c r="D11" s="46" t="inlineStr"/>
      <c r="E11" s="46" t="inlineStr"/>
      <c r="F11" s="46" t="inlineStr"/>
      <c r="G11" s="46" t="inlineStr"/>
      <c r="H11" s="46" t="inlineStr"/>
      <c r="I11" s="46" t="inlineStr"/>
      <c r="J11" s="23" t="inlineStr">
        <is>
          <t>◐</t>
        </is>
      </c>
      <c r="K11" s="21" t="inlineStr">
        <is>
          <t>●</t>
        </is>
      </c>
    </row>
    <row r="12">
      <c r="A12" s="45" t="inlineStr">
        <is>
          <t>Conveyors</t>
        </is>
      </c>
      <c r="B12" s="23" t="inlineStr">
        <is>
          <t>◐</t>
        </is>
      </c>
      <c r="C12" s="23" t="inlineStr">
        <is>
          <t>◐</t>
        </is>
      </c>
      <c r="D12" s="23" t="inlineStr">
        <is>
          <t>◐</t>
        </is>
      </c>
      <c r="E12" s="46" t="inlineStr"/>
      <c r="F12" s="23" t="inlineStr">
        <is>
          <t>◐</t>
        </is>
      </c>
      <c r="G12" s="46" t="inlineStr"/>
      <c r="H12" s="23" t="inlineStr">
        <is>
          <t>◐</t>
        </is>
      </c>
      <c r="I12" s="46" t="inlineStr"/>
      <c r="J12" s="46" t="inlineStr"/>
      <c r="K12" s="46" t="inlineStr"/>
    </row>
    <row r="13">
      <c r="A13" s="45" t="inlineStr">
        <is>
          <t>Packaging</t>
        </is>
      </c>
      <c r="B13" s="21" t="inlineStr">
        <is>
          <t>●</t>
        </is>
      </c>
      <c r="C13" s="46" t="inlineStr"/>
      <c r="D13" s="46" t="inlineStr"/>
      <c r="E13" s="46" t="inlineStr"/>
      <c r="F13" s="46" t="inlineStr"/>
      <c r="G13" s="46" t="inlineStr"/>
      <c r="H13" s="46" t="inlineStr"/>
      <c r="I13" s="46" t="inlineStr"/>
      <c r="J13" s="46" t="inlineStr"/>
      <c r="K13" s="46" t="inlineStr"/>
    </row>
    <row r="14">
      <c r="A14" s="45" t="inlineStr">
        <is>
          <t>Metal Detection</t>
        </is>
      </c>
      <c r="B14" s="23" t="inlineStr">
        <is>
          <t>◐</t>
        </is>
      </c>
      <c r="C14" s="23" t="inlineStr">
        <is>
          <t>◐</t>
        </is>
      </c>
      <c r="D14" s="46" t="inlineStr"/>
      <c r="E14" s="46" t="inlineStr"/>
      <c r="F14" s="46" t="inlineStr"/>
      <c r="G14" s="46" t="inlineStr"/>
      <c r="H14" s="46" t="inlineStr"/>
      <c r="I14" s="46" t="inlineStr"/>
      <c r="J14" s="46" t="inlineStr"/>
      <c r="K14" s="23" t="inlineStr">
        <is>
          <t>◐</t>
        </is>
      </c>
    </row>
    <row r="15">
      <c r="A15" s="45" t="inlineStr">
        <is>
          <t>Utilities</t>
        </is>
      </c>
      <c r="B15" s="46" t="inlineStr"/>
      <c r="C15" s="23" t="inlineStr">
        <is>
          <t>◐</t>
        </is>
      </c>
      <c r="D15" s="46" t="inlineStr"/>
      <c r="E15" s="23" t="inlineStr">
        <is>
          <t>◐</t>
        </is>
      </c>
      <c r="F15" s="46" t="inlineStr"/>
      <c r="G15" s="21" t="inlineStr">
        <is>
          <t>●</t>
        </is>
      </c>
      <c r="H15" s="46" t="inlineStr"/>
      <c r="I15" s="23" t="inlineStr">
        <is>
          <t>◐</t>
        </is>
      </c>
      <c r="J15" s="23" t="inlineStr">
        <is>
          <t>◐</t>
        </is>
      </c>
      <c r="K15" s="46" t="inlineStr"/>
    </row>
    <row r="17">
      <c r="A17" s="18" t="inlineStr">
        <is>
          <t>● = Primary hazard for this service line   ◐ = Secondary/partial relevance   (blank) = not typically relevant</t>
        </is>
      </c>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4" customWidth="1" min="1" max="1"/>
    <col width="35" customWidth="1" min="2" max="2"/>
    <col width="40" customWidth="1" min="3" max="3"/>
    <col width="14" customWidth="1" min="4" max="4"/>
    <col width="14" customWidth="1" min="5" max="5"/>
    <col width="60" customWidth="1" min="6" max="6"/>
    <col width="12" customWidth="1" min="7" max="7"/>
    <col width="25" customWidth="1" min="8" max="8"/>
    <col width="25" customWidth="1" min="9" max="9"/>
  </cols>
  <sheetData>
    <row r="1">
      <c r="A1" s="1" t="inlineStr">
        <is>
          <t>#</t>
        </is>
      </c>
      <c r="B1" s="1" t="inlineStr">
        <is>
          <t>Activity</t>
        </is>
      </c>
      <c r="C1" s="1" t="inlineStr">
        <is>
          <t>Hazard</t>
        </is>
      </c>
      <c r="D1" s="1" t="inlineStr">
        <is>
          <t>Risk Factor (L x S)</t>
        </is>
      </c>
      <c r="E1" s="1" t="inlineStr">
        <is>
          <t>Revised RF</t>
        </is>
      </c>
      <c r="F1" s="1" t="inlineStr">
        <is>
          <t>Control Measures</t>
        </is>
      </c>
      <c r="G1" s="1" t="inlineStr">
        <is>
          <t>Risk Level</t>
        </is>
      </c>
      <c r="H1" s="1" t="inlineStr">
        <is>
          <t>Sector</t>
        </is>
      </c>
      <c r="I1" s="1" t="inlineStr">
        <is>
          <t>Source Documents</t>
        </is>
      </c>
    </row>
    <row r="2">
      <c r="A2" s="2" t="n">
        <v>1</v>
      </c>
      <c r="B2" s="2" t="inlineStr">
        <is>
          <t>Installing cables &amp; containment above 2000mm</t>
        </is>
      </c>
      <c r="C2" s="2" t="inlineStr">
        <is>
          <t>Drilling/cutting metal parts, dust, noise, vibration, slips/trips/falls, cuts from sharp metal, falls from height</t>
        </is>
      </c>
      <c r="D2" s="2" t="inlineStr">
        <is>
          <t>4x4=16</t>
        </is>
      </c>
      <c r="E2" s="2" t="inlineStr">
        <is>
          <t>2x4=12</t>
        </is>
      </c>
      <c r="F2" s="2" t="inlineStr">
        <is>
          <t>Scaffold/MEWP for access. Dust mask, gloves, eye protection. Clear working area of debris. Route 110V leads to eliminate trip hazard. Max 25kg individual lift, team lift above. IPAF/PASMA quals required for access equipment.</t>
        </is>
      </c>
      <c r="G2" s="2" t="inlineStr">
        <is>
          <t>MEDIUM</t>
        </is>
      </c>
      <c r="H2" s="2" t="inlineStr">
        <is>
          <t>Food Manufacturing / General</t>
        </is>
      </c>
      <c r="I2" s="2" t="inlineStr">
        <is>
          <t>ALL RAs</t>
        </is>
      </c>
    </row>
    <row r="3">
      <c r="A3" s="3" t="n">
        <v>2</v>
      </c>
      <c r="B3" s="3" t="inlineStr">
        <is>
          <t>Installation of fire alarm devices</t>
        </is>
      </c>
      <c r="C3" s="3" t="inlineStr">
        <is>
          <t>Falls from heights, trips, slips, falls, electric shock</t>
        </is>
      </c>
      <c r="D3" s="3" t="inlineStr">
        <is>
          <t>4x6=24</t>
        </is>
      </c>
      <c r="E3" s="3" t="inlineStr">
        <is>
          <t>2x6=12</t>
        </is>
      </c>
      <c r="F3" s="3" t="inlineStr">
        <is>
          <t>Only trained/competent operatives. Systems remain dead until all connections made. PPE at all times. Correct access equipment for working height. Area below cordoned off. Harness mandatory on Cherry Picker.</t>
        </is>
      </c>
      <c r="G3" s="3" t="inlineStr">
        <is>
          <t>HIGH</t>
        </is>
      </c>
      <c r="H3" s="3" t="inlineStr">
        <is>
          <t>Food Manufacturing / General</t>
        </is>
      </c>
      <c r="I3" s="3" t="inlineStr">
        <is>
          <t>ALL RAs</t>
        </is>
      </c>
    </row>
    <row r="4">
      <c r="A4" s="2" t="n">
        <v>3</v>
      </c>
      <c r="B4" s="2" t="inlineStr">
        <is>
          <t>Loading of materials / Manual Handling</t>
        </is>
      </c>
      <c r="C4" s="2" t="inlineStr">
        <is>
          <t>Manual handling injuries, slips, trips, falls</t>
        </is>
      </c>
      <c r="D4" s="2" t="inlineStr">
        <is>
          <t>4x4=16</t>
        </is>
      </c>
      <c r="E4" s="2" t="inlineStr">
        <is>
          <t>N/A</t>
        </is>
      </c>
      <c r="F4" s="2" t="inlineStr">
        <is>
          <t>Max 25kg individual lift. Correct lift technique. Full PPE. Work area cordoned off. Mechanical aids (skates, trolleys, carts) for heavy loads.</t>
        </is>
      </c>
      <c r="G4" s="2" t="inlineStr">
        <is>
          <t>MEDIUM</t>
        </is>
      </c>
      <c r="H4" s="2" t="inlineStr">
        <is>
          <t>All Sectors</t>
        </is>
      </c>
      <c r="I4" s="2" t="inlineStr">
        <is>
          <t>ALL RAs</t>
        </is>
      </c>
    </row>
    <row r="5">
      <c r="A5" s="2" t="n">
        <v>4</v>
      </c>
      <c r="B5" s="2" t="inlineStr">
        <is>
          <t>Noise produced by work activity</t>
        </is>
      </c>
      <c r="C5" s="2" t="inlineStr">
        <is>
          <t>Damage to hearing, nuisance</t>
        </is>
      </c>
      <c r="D5" s="2" t="inlineStr">
        <is>
          <t>4x4=16</t>
        </is>
      </c>
      <c r="E5" s="2" t="inlineStr">
        <is>
          <t>2x2=4</t>
        </is>
      </c>
      <c r="F5" s="2" t="inlineStr">
        <is>
          <t>Only trained/competent operatives. Assess works before commencement. Select equipment with lowest noise emissions. PPE to be worn.</t>
        </is>
      </c>
      <c r="G5" s="2" t="inlineStr">
        <is>
          <t>MEDIUM</t>
        </is>
      </c>
      <c r="H5" s="2" t="inlineStr">
        <is>
          <t>All Sectors</t>
        </is>
      </c>
      <c r="I5" s="2" t="inlineStr">
        <is>
          <t>ALL RAs</t>
        </is>
      </c>
    </row>
    <row r="6">
      <c r="A6" s="3" t="n">
        <v>5</v>
      </c>
      <c r="B6" s="3" t="inlineStr">
        <is>
          <t>Use of electric tools, cutting &amp; drilling</t>
        </is>
      </c>
      <c r="C6" s="3" t="inlineStr">
        <is>
          <t>Dust, shavings, metal swarf, heat</t>
        </is>
      </c>
      <c r="D6" s="3" t="inlineStr">
        <is>
          <t>6x4=24</t>
        </is>
      </c>
      <c r="E6" s="3" t="inlineStr">
        <is>
          <t>2x2=4</t>
        </is>
      </c>
      <c r="F6" s="3" t="inlineStr">
        <is>
          <t>Dust masks, goggles, gloves when cutting/drilling. All power tools PAT tested.</t>
        </is>
      </c>
      <c r="G6" s="3" t="inlineStr">
        <is>
          <t>HIGH</t>
        </is>
      </c>
      <c r="H6" s="3" t="inlineStr">
        <is>
          <t>All Sectors</t>
        </is>
      </c>
      <c r="I6" s="3" t="inlineStr">
        <is>
          <t>ALL RAs</t>
        </is>
      </c>
    </row>
    <row r="7">
      <c r="A7" s="2" t="n">
        <v>6</v>
      </c>
      <c r="B7" s="2" t="inlineStr">
        <is>
          <t>Site work - General PPE requirement</t>
        </is>
      </c>
      <c r="C7" s="2" t="inlineStr">
        <is>
          <t>Injuries from various work activities</t>
        </is>
      </c>
      <c r="D7" s="2" t="inlineStr">
        <is>
          <t>4x4=16</t>
        </is>
      </c>
      <c r="E7" s="2" t="inlineStr">
        <is>
          <t>2x4=8</t>
        </is>
      </c>
      <c r="F7" s="2" t="inlineStr">
        <is>
          <t>PPE at all times: hard hat, steel toe cap boots, hearing protection, eye protection, hi-vis, harness when using booms, inclement weather clothing. Harness mandatory on Cherry Picker.</t>
        </is>
      </c>
      <c r="G7" s="2" t="inlineStr">
        <is>
          <t>MEDIUM</t>
        </is>
      </c>
      <c r="H7" s="2" t="inlineStr">
        <is>
          <t>All Sectors</t>
        </is>
      </c>
      <c r="I7" s="2" t="inlineStr">
        <is>
          <t>ALL RAs</t>
        </is>
      </c>
    </row>
    <row r="8">
      <c r="A8" s="3" t="n">
        <v>7</v>
      </c>
      <c r="B8" s="3" t="inlineStr">
        <is>
          <t>Test &amp; commissioning of completed wiring</t>
        </is>
      </c>
      <c r="C8" s="3" t="inlineStr">
        <is>
          <t>Electric shock</t>
        </is>
      </c>
      <c r="D8" s="3" t="inlineStr">
        <is>
          <t>4x6=24</t>
        </is>
      </c>
      <c r="E8" s="3" t="inlineStr">
        <is>
          <t>2x6=12</t>
        </is>
      </c>
      <c r="F8" s="3" t="inlineStr">
        <is>
          <t>Only trained/competent operatives. Aware of safe isolation procedures. Test instruments in safe working order. Test probes with sufficient voltage insulation. System complete before energisation.</t>
        </is>
      </c>
      <c r="G8" s="3" t="inlineStr">
        <is>
          <t>HIGH</t>
        </is>
      </c>
      <c r="H8" s="3" t="inlineStr">
        <is>
          <t>Food Manufacturing / General</t>
        </is>
      </c>
      <c r="I8" s="3" t="inlineStr">
        <is>
          <t>ALL RAs</t>
        </is>
      </c>
    </row>
    <row r="9">
      <c r="A9" s="3" t="n">
        <v>8</v>
      </c>
      <c r="B9" s="3" t="inlineStr">
        <is>
          <t>Working at heights / Use of ladders</t>
        </is>
      </c>
      <c r="C9" s="3" t="inlineStr">
        <is>
          <t>Falls from heights</t>
        </is>
      </c>
      <c r="D9" s="3" t="inlineStr">
        <is>
          <t>4x6=24</t>
        </is>
      </c>
      <c r="E9" s="3" t="inlineStr">
        <is>
          <t>2x6=12</t>
        </is>
      </c>
      <c r="F9" s="3" t="inlineStr">
        <is>
          <t>Access equipment in good order. Defective equipment removed. Ladders secured and footed by second person, short periods only. MEWPS operated by trained/licensed operatives only. MEWPS checked daily. Harness mandatory on Cherry Picker.</t>
        </is>
      </c>
      <c r="G9" s="3" t="inlineStr">
        <is>
          <t>HIGH</t>
        </is>
      </c>
      <c r="H9" s="3" t="inlineStr">
        <is>
          <t>All Sectors</t>
        </is>
      </c>
      <c r="I9" s="3" t="inlineStr">
        <is>
          <t>ALL RAs</t>
        </is>
      </c>
    </row>
    <row r="10">
      <c r="A10" s="3" t="n">
        <v>9</v>
      </c>
      <c r="B10" s="3" t="inlineStr">
        <is>
          <t>Working in confined spaces / ceiling voids with electrical circuits</t>
        </is>
      </c>
      <c r="C10" s="3" t="inlineStr">
        <is>
          <t>Electric shock from live services</t>
        </is>
      </c>
      <c r="D10" s="3" t="inlineStr">
        <is>
          <t>4x6=24</t>
        </is>
      </c>
      <c r="E10" s="3" t="inlineStr">
        <is>
          <t>2x6=12</t>
        </is>
      </c>
      <c r="F10" s="3" t="inlineStr">
        <is>
          <t>Only trained/competent operatives. Safe isolation procedures. All circuits dead before work commences (where practical). Further assessment where not practical. Circuits re-energised only when all works complete. Permits to Work obtained.</t>
        </is>
      </c>
      <c r="G10" s="3" t="inlineStr">
        <is>
          <t>HIGH</t>
        </is>
      </c>
      <c r="H10" s="3" t="inlineStr">
        <is>
          <t>Food Manufacturing</t>
        </is>
      </c>
      <c r="I10" s="3" t="inlineStr">
        <is>
          <t>ALL RAs</t>
        </is>
      </c>
    </row>
    <row r="11">
      <c r="A11" s="3" t="n">
        <v>10</v>
      </c>
      <c r="B11" s="3" t="inlineStr">
        <is>
          <t>Use of hand tools and power tools</t>
        </is>
      </c>
      <c r="C11" s="3" t="inlineStr">
        <is>
          <t>Electric shock from faulty/damaged leads</t>
        </is>
      </c>
      <c r="D11" s="3" t="inlineStr">
        <is>
          <t>4x6=24</t>
        </is>
      </c>
      <c r="E11" s="3" t="inlineStr">
        <is>
          <t>2x6=12</t>
        </is>
      </c>
      <c r="F11" s="3" t="inlineStr">
        <is>
          <t>Eye protection to BS EN166 for impact/cutting/grinding. Hearing protection when noise &gt;85dB. Visual inspection of equipment/leads/plug tops before use. PAT testing every 3 months.</t>
        </is>
      </c>
      <c r="G11" s="3" t="inlineStr">
        <is>
          <t>HIGH</t>
        </is>
      </c>
      <c r="H11" s="3" t="inlineStr">
        <is>
          <t>All Sectors</t>
        </is>
      </c>
      <c r="I11" s="3" t="inlineStr">
        <is>
          <t>ALL RAs</t>
        </is>
      </c>
    </row>
    <row r="12">
      <c r="A12" s="2" t="n">
        <v>11</v>
      </c>
      <c r="B12" s="2" t="inlineStr">
        <is>
          <t>Installing cables above 2000mm</t>
        </is>
      </c>
      <c r="C12" s="2" t="inlineStr">
        <is>
          <t>Manual handling, falls from heights, falling objects</t>
        </is>
      </c>
      <c r="D12" s="2" t="inlineStr">
        <is>
          <t>4x4=16</t>
        </is>
      </c>
      <c r="E12" s="2" t="inlineStr">
        <is>
          <t>2x6=12</t>
        </is>
      </c>
      <c r="F12" s="2" t="inlineStr">
        <is>
          <t>Scaffold/MEWP. Dust mask, gloves, eye protection. Clear working area. 110V leads routed safely. Max 25kg lift. IPAF/PASMA required.</t>
        </is>
      </c>
      <c r="G12" s="2" t="inlineStr">
        <is>
          <t>MEDIUM</t>
        </is>
      </c>
      <c r="H12" s="2" t="inlineStr">
        <is>
          <t>All Sectors</t>
        </is>
      </c>
      <c r="I12" s="2" t="inlineStr">
        <is>
          <t>ALL RAs</t>
        </is>
      </c>
    </row>
    <row r="13">
      <c r="A13" s="2" t="n">
        <v>12</v>
      </c>
      <c r="B13" s="2" t="inlineStr">
        <is>
          <t>Installing mechanical plant above 2000mm</t>
        </is>
      </c>
      <c r="C13" s="2" t="inlineStr">
        <is>
          <t>Manual handling, falls from heights, falling objects</t>
        </is>
      </c>
      <c r="D13" s="2" t="inlineStr">
        <is>
          <t>4x4=16</t>
        </is>
      </c>
      <c r="E13" s="2" t="inlineStr">
        <is>
          <t>2x6=12</t>
        </is>
      </c>
      <c r="F13" s="2" t="inlineStr">
        <is>
          <t>Scaffold/MEWP. Dust mask, gloves, eye protection. Clear working area. 110V leads routed safely. Max 25kg lift. IPAF/PASMA required.</t>
        </is>
      </c>
      <c r="G13" s="2" t="inlineStr">
        <is>
          <t>MEDIUM</t>
        </is>
      </c>
      <c r="H13" s="2" t="inlineStr">
        <is>
          <t>All Sectors</t>
        </is>
      </c>
      <c r="I13" s="2" t="inlineStr">
        <is>
          <t>ALL RAs</t>
        </is>
      </c>
    </row>
    <row r="14">
      <c r="A14" s="3" t="n">
        <v>13</v>
      </c>
      <c r="B14" s="3" t="inlineStr">
        <is>
          <t>Installing electrical plant above 2000mm</t>
        </is>
      </c>
      <c r="C14" s="3" t="inlineStr">
        <is>
          <t>Manual handling, falls from heights, falling objects</t>
        </is>
      </c>
      <c r="D14" s="3" t="inlineStr">
        <is>
          <t>4x6=24</t>
        </is>
      </c>
      <c r="E14" s="3" t="inlineStr">
        <is>
          <t>2x4=8</t>
        </is>
      </c>
      <c r="F14" s="3" t="inlineStr">
        <is>
          <t>Scaffold/MEWP. Dust mask, gloves, eye protection. Clear working area. 110V leads routed safely. Max 25kg lift. IPAF/PASMA required.</t>
        </is>
      </c>
      <c r="G14" s="3" t="inlineStr">
        <is>
          <t>HIGH</t>
        </is>
      </c>
      <c r="H14" s="3" t="inlineStr">
        <is>
          <t>All Sectors</t>
        </is>
      </c>
      <c r="I14" s="3" t="inlineStr">
        <is>
          <t>ALL RAs</t>
        </is>
      </c>
    </row>
    <row r="15">
      <c r="A15" s="3" t="n">
        <v>14</v>
      </c>
      <c r="B15" s="3" t="inlineStr">
        <is>
          <t>Pressure Testing of A/C Pipework</t>
        </is>
      </c>
      <c r="C15" s="3" t="inlineStr">
        <is>
          <t>Noise, personal injury from system/pipe burst</t>
        </is>
      </c>
      <c r="D15" s="3" t="inlineStr">
        <is>
          <t>4x6=24</t>
        </is>
      </c>
      <c r="E15" s="3" t="inlineStr">
        <is>
          <t>2x4=8</t>
        </is>
      </c>
      <c r="F15" s="3" t="inlineStr">
        <is>
          <t>Trained personnel only. Other operatives min 3m away from test equipment. All works per Pressure Equipment Directive PED201/68/EU.</t>
        </is>
      </c>
      <c r="G15" s="3" t="inlineStr">
        <is>
          <t>HIGH</t>
        </is>
      </c>
      <c r="H15" s="3" t="inlineStr">
        <is>
          <t>Food Manufacturing / Pharma</t>
        </is>
      </c>
      <c r="I15" s="3" t="inlineStr">
        <is>
          <t>ALL RAs</t>
        </is>
      </c>
    </row>
    <row r="16">
      <c r="A16" s="3" t="n">
        <v>15</v>
      </c>
      <c r="B16" s="3" t="inlineStr">
        <is>
          <t>Cutting of Stainless Steel using small angle grinder</t>
        </is>
      </c>
      <c r="C16" s="3" t="inlineStr">
        <is>
          <t>Dust, shavings, metal swarf, heat</t>
        </is>
      </c>
      <c r="D16" s="3" t="inlineStr">
        <is>
          <t>6x4=24</t>
        </is>
      </c>
      <c r="E16" s="3" t="inlineStr">
        <is>
          <t>2x2=4</t>
        </is>
      </c>
      <c r="F16" s="3" t="inlineStr">
        <is>
          <t>Dust masks, goggles, gloves when cutting/drilling. All power tools PAT tested. Fire extinguisher present during activity.</t>
        </is>
      </c>
      <c r="G16" s="3" t="inlineStr">
        <is>
          <t>HIGH</t>
        </is>
      </c>
      <c r="H16" s="3" t="inlineStr">
        <is>
          <t>Food Manufacturing</t>
        </is>
      </c>
      <c r="I16" s="3" t="inlineStr">
        <is>
          <t>ALL RAs</t>
        </is>
      </c>
    </row>
    <row r="17">
      <c r="A17" s="2" t="n">
        <v>16</v>
      </c>
      <c r="B17" s="2" t="inlineStr">
        <is>
          <t>Use of Fork Trucks</t>
        </is>
      </c>
      <c r="C17" s="2" t="inlineStr">
        <is>
          <t>Traffic, lifting, access-egress</t>
        </is>
      </c>
      <c r="D17" s="2" t="inlineStr">
        <is>
          <t>6x3=18</t>
        </is>
      </c>
      <c r="E17" s="2" t="inlineStr">
        <is>
          <t>3x4=12</t>
        </is>
      </c>
      <c r="F17" s="2" t="inlineStr">
        <is>
          <t>Banksman in position. Safe working load observed.</t>
        </is>
      </c>
      <c r="G17" s="2" t="inlineStr">
        <is>
          <t>MEDIUM</t>
        </is>
      </c>
      <c r="H17" s="2" t="inlineStr">
        <is>
          <t>All Sectors</t>
        </is>
      </c>
      <c r="I17" s="2" t="inlineStr">
        <is>
          <t>ALL RAs</t>
        </is>
      </c>
    </row>
    <row r="18">
      <c r="A18" s="2" t="n">
        <v>17</v>
      </c>
      <c r="B18" s="2" t="inlineStr">
        <is>
          <t>General site activities - Step ladders</t>
        </is>
      </c>
      <c r="C18" s="2" t="inlineStr">
        <is>
          <t>Falls from low level</t>
        </is>
      </c>
      <c r="D18" s="2" t="inlineStr">
        <is>
          <t>4x4=16</t>
        </is>
      </c>
      <c r="E18" s="2" t="inlineStr">
        <is>
          <t>2x4=8</t>
        </is>
      </c>
      <c r="F18" s="2" t="inlineStr">
        <is>
          <t>Step ladders for low-level work, short periods only. Checked before/after use. Damaged equipment removed immediately. Firm level base. Safety helmets, safety footwear, gloves. Industrial class only. Low risk/low frequency tasks only.</t>
        </is>
      </c>
      <c r="G18" s="2" t="inlineStr">
        <is>
          <t>MEDIUM</t>
        </is>
      </c>
      <c r="H18" s="2" t="inlineStr">
        <is>
          <t>All Sectors</t>
        </is>
      </c>
      <c r="I18" s="2" t="inlineStr">
        <is>
          <t>ALL RAs</t>
        </is>
      </c>
    </row>
    <row r="19">
      <c r="A19" s="2" t="n">
        <v>18</v>
      </c>
      <c r="B19" s="2" t="inlineStr">
        <is>
          <t>Various site activities - Slips trips and falls</t>
        </is>
      </c>
      <c r="C19" s="2" t="inlineStr">
        <is>
          <t>Slips, trips, falls on level</t>
        </is>
      </c>
      <c r="D19" s="2" t="inlineStr">
        <is>
          <t>4x4=16</t>
        </is>
      </c>
      <c r="E19" s="2" t="inlineStr">
        <is>
          <t>2x4=8</t>
        </is>
      </c>
      <c r="F19" s="2" t="inlineStr">
        <is>
          <t>Floor areas and staircases kept clean and tidy. No accumulation of rubbish/debris. Redundant materials removed regularly. 110V extension leads routed to eliminate trip hazards.</t>
        </is>
      </c>
      <c r="G19" s="2" t="inlineStr">
        <is>
          <t>MEDIUM</t>
        </is>
      </c>
      <c r="H19" s="2" t="inlineStr">
        <is>
          <t>All Sectors</t>
        </is>
      </c>
      <c r="I19" s="2" t="inlineStr">
        <is>
          <t>ALL RAs</t>
        </is>
      </c>
    </row>
    <row r="20">
      <c r="A20" s="3" t="n">
        <v>19</v>
      </c>
      <c r="B20" s="3" t="inlineStr">
        <is>
          <t>Connection of wiring</t>
        </is>
      </c>
      <c r="C20" s="3" t="inlineStr">
        <is>
          <t>Electric shock</t>
        </is>
      </c>
      <c r="D20" s="3" t="inlineStr">
        <is>
          <t>4x6=24</t>
        </is>
      </c>
      <c r="E20" s="3" t="inlineStr">
        <is>
          <t>2x6=12</t>
        </is>
      </c>
      <c r="F20" s="3" t="inlineStr">
        <is>
          <t>Only trained/competent operatives. Systems remain dead until all connections made. Safe isolation procedures. Warning signs if hazard likely. Permits for live connections. Fully insulated tools for live work.</t>
        </is>
      </c>
      <c r="G20" s="3" t="inlineStr">
        <is>
          <t>HIGH</t>
        </is>
      </c>
      <c r="H20" s="3" t="inlineStr">
        <is>
          <t>All Sectors</t>
        </is>
      </c>
      <c r="I20" s="3" t="inlineStr">
        <is>
          <t>ALL RAs</t>
        </is>
      </c>
    </row>
    <row r="21">
      <c r="A21" s="2" t="n">
        <v>20</v>
      </c>
      <c r="B21" s="2" t="inlineStr">
        <is>
          <t>Installation of cable containment at low level</t>
        </is>
      </c>
      <c r="C21" s="2" t="inlineStr">
        <is>
          <t>Drilling/cutting metal, dust, noise, vibration, slips/trips/falls, cuts from sharp metal</t>
        </is>
      </c>
      <c r="D21" s="2" t="inlineStr">
        <is>
          <t>4x4=16</t>
        </is>
      </c>
      <c r="E21" s="2" t="inlineStr">
        <is>
          <t>N/A</t>
        </is>
      </c>
      <c r="F21" s="2" t="inlineStr">
        <is>
          <t>Dust mask, gloves, eye protection. Clear working area. 110V leads routed safely. Max 25kg individual lift, team lift above.</t>
        </is>
      </c>
      <c r="G21" s="2" t="inlineStr">
        <is>
          <t>MEDIUM</t>
        </is>
      </c>
      <c r="H21" s="2" t="inlineStr">
        <is>
          <t>All Sectors</t>
        </is>
      </c>
      <c r="I21" s="2" t="inlineStr">
        <is>
          <t>ALL RAs</t>
        </is>
      </c>
    </row>
    <row r="22">
      <c r="A22" s="3" t="n">
        <v>21</v>
      </c>
      <c r="B22" s="3" t="inlineStr">
        <is>
          <t>Use of electric power tools</t>
        </is>
      </c>
      <c r="C22" s="3" t="inlineStr">
        <is>
          <t>Electric shock from faulty leads/equipment</t>
        </is>
      </c>
      <c r="D22" s="3" t="inlineStr">
        <is>
          <t>4x6=24</t>
        </is>
      </c>
      <c r="E22" s="3" t="inlineStr">
        <is>
          <t>N/A</t>
        </is>
      </c>
      <c r="F22" s="3" t="inlineStr">
        <is>
          <t>Only 110V tools. 230/110V transformers centre-tapped to earth. Double insulated tools where possible. User inspection before each use. PAT testing. Eye protection BS EN 166 for impact/cutting/grinding. Hearing protection when &gt;85dB.</t>
        </is>
      </c>
      <c r="G22" s="3" t="inlineStr">
        <is>
          <t>HIGH</t>
        </is>
      </c>
      <c r="H22" s="3" t="inlineStr">
        <is>
          <t>All Sectors</t>
        </is>
      </c>
      <c r="I22" s="3" t="inlineStr">
        <is>
          <t>ALL RAs</t>
        </is>
      </c>
    </row>
    <row r="23">
      <c r="A23" s="3" t="n">
        <v>22</v>
      </c>
      <c r="B23" s="3" t="inlineStr">
        <is>
          <t>General site activities - Live electrical services nearby</t>
        </is>
      </c>
      <c r="C23" s="3" t="inlineStr">
        <is>
          <t>Electric shock from live services</t>
        </is>
      </c>
      <c r="D23" s="3" t="inlineStr">
        <is>
          <t>4x6=24</t>
        </is>
      </c>
      <c r="E23" s="3" t="inlineStr">
        <is>
          <t>2x6=12</t>
        </is>
      </c>
      <c r="F23" s="3" t="inlineStr">
        <is>
          <t>Operatives aware of electrical services in work area. Where appropriate, made safe by electrical contractor.</t>
        </is>
      </c>
      <c r="G23" s="3" t="inlineStr">
        <is>
          <t>HIGH</t>
        </is>
      </c>
      <c r="H23" s="3" t="inlineStr">
        <is>
          <t>All Sectors</t>
        </is>
      </c>
      <c r="I23" s="3" t="inlineStr">
        <is>
          <t>ALL RAs</t>
        </is>
      </c>
    </row>
    <row r="24">
      <c r="A24" s="3" t="n">
        <v>23</v>
      </c>
      <c r="B24" s="3" t="inlineStr">
        <is>
          <t>Isolation of electrical supplies</t>
        </is>
      </c>
      <c r="C24" s="3" t="inlineStr">
        <is>
          <t>Electric shock</t>
        </is>
      </c>
      <c r="D24" s="3" t="inlineStr">
        <is>
          <t>2x6=24</t>
        </is>
      </c>
      <c r="E24" s="3" t="inlineStr">
        <is>
          <t>2x6=12</t>
        </is>
      </c>
      <c r="F24" s="3" t="inlineStr">
        <is>
          <t>Only trained/competent operatives. Safe isolation procedures. Test instruments in safe working order. Probes with sufficient voltage insulation. System complete before circuit energised. MCB locks used or circuit disconnected from MCB.</t>
        </is>
      </c>
      <c r="G24" s="3" t="inlineStr">
        <is>
          <t>HIGH</t>
        </is>
      </c>
      <c r="H24" s="3" t="inlineStr">
        <is>
          <t>All Sectors</t>
        </is>
      </c>
      <c r="I24" s="3" t="inlineStr">
        <is>
          <t>ALL RAs</t>
        </is>
      </c>
    </row>
    <row r="25">
      <c r="A25" s="2" t="n">
        <v>24</v>
      </c>
      <c r="B25" s="2" t="inlineStr">
        <is>
          <t>Using 5 and 6 Tonne FLT within yard and production area</t>
        </is>
      </c>
      <c r="C25" s="2" t="inlineStr">
        <is>
          <t>Vehicle movement, plant/equipment/machinery falling from height</t>
        </is>
      </c>
      <c r="D25" s="2" t="inlineStr">
        <is>
          <t>4x4=16</t>
        </is>
      </c>
      <c r="E25" s="2" t="inlineStr">
        <is>
          <t>2x4=8</t>
        </is>
      </c>
      <c r="F25" s="2" t="inlineStr">
        <is>
          <t>Qualified operatives only. Observations during each lift. Clear access around machinery at all times. Banksman and lead hand in position.</t>
        </is>
      </c>
      <c r="G25" s="2" t="inlineStr">
        <is>
          <t>MEDIUM</t>
        </is>
      </c>
      <c r="H25" s="2" t="inlineStr">
        <is>
          <t>Food Manufacturing</t>
        </is>
      </c>
      <c r="I25" s="2" t="inlineStr">
        <is>
          <t>Butternut Box RAs</t>
        </is>
      </c>
    </row>
    <row r="26">
      <c r="A26" s="3" t="n">
        <v>25</v>
      </c>
      <c r="B26" s="3" t="inlineStr">
        <is>
          <t>Transportation of machinery into production from outside</t>
        </is>
      </c>
      <c r="C26" s="3" t="inlineStr">
        <is>
          <t>Third party personnel movement, moving objects, falling parts from racking</t>
        </is>
      </c>
      <c r="D26" s="3" t="inlineStr">
        <is>
          <t>5x5=25</t>
        </is>
      </c>
      <c r="E26" s="3" t="inlineStr">
        <is>
          <t>4x2=8</t>
        </is>
      </c>
      <c r="F26" s="3" t="inlineStr">
        <is>
          <t>Area clear and all parties communicated prior to installation of machinery into position.</t>
        </is>
      </c>
      <c r="G26" s="3" t="inlineStr">
        <is>
          <t>HIGH</t>
        </is>
      </c>
      <c r="H26" s="3" t="inlineStr">
        <is>
          <t>Food Manufacturing</t>
        </is>
      </c>
      <c r="I26" s="3" t="inlineStr">
        <is>
          <t>Butternut Box RAs</t>
        </is>
      </c>
    </row>
    <row r="27">
      <c r="A27" s="3" t="n">
        <v>26</v>
      </c>
      <c r="B27" s="3" t="inlineStr">
        <is>
          <t>Welding (TIG) within roof void areas</t>
        </is>
      </c>
      <c r="C27" s="3" t="inlineStr">
        <is>
          <t>Hot works, flammable materials, inadequate lighting, burns, escape routes, fire alarm</t>
        </is>
      </c>
      <c r="D27" s="3" t="inlineStr">
        <is>
          <t>6x4=24</t>
        </is>
      </c>
      <c r="E27" s="3" t="inlineStr">
        <is>
          <t>4x2=8</t>
        </is>
      </c>
      <c r="F27" s="3" t="inlineStr">
        <is>
          <t>Works supervised by FESS GROUP. No unauthorised access. 2x 9KG extinguishers and fire blanket. Welding mask ventilated. Fire watch during and after. HOT WORK PERMIT mandatory. Adequate lighting.</t>
        </is>
      </c>
      <c r="G27" s="3" t="inlineStr">
        <is>
          <t>HIGH</t>
        </is>
      </c>
      <c r="H27" s="3" t="inlineStr">
        <is>
          <t>Food Manufacturing</t>
        </is>
      </c>
      <c r="I27" s="3" t="inlineStr">
        <is>
          <t>Cranswick Lazenby RA</t>
        </is>
      </c>
    </row>
    <row r="28">
      <c r="A28" s="2" t="n">
        <v>27</v>
      </c>
      <c r="B28" s="2" t="inlineStr">
        <is>
          <t>Cutting/drilling into refrigeration panels</t>
        </is>
      </c>
      <c r="C28" s="2" t="inlineStr">
        <is>
          <t>Swarf, metal filings, obstructions in roof void</t>
        </is>
      </c>
      <c r="D28" s="2" t="inlineStr">
        <is>
          <t>4x4=16</t>
        </is>
      </c>
      <c r="E28" s="2" t="inlineStr">
        <is>
          <t>2x4=8</t>
        </is>
      </c>
      <c r="F28" s="2" t="inlineStr">
        <is>
          <t>Check no obstructions in roof void, communicated during each hole. Full PPE during drilling.</t>
        </is>
      </c>
      <c r="G28" s="2" t="inlineStr">
        <is>
          <t>MEDIUM</t>
        </is>
      </c>
      <c r="H28" s="2" t="inlineStr">
        <is>
          <t>Food Manufacturing</t>
        </is>
      </c>
      <c r="I28" s="2" t="inlineStr">
        <is>
          <t>Cranswick Lazenby RA</t>
        </is>
      </c>
    </row>
  </sheetData>
  <autoFilter ref="A1:I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1"/>
  <sheetViews>
    <sheetView showGridLines="0" workbookViewId="0">
      <pane ySplit="4" topLeftCell="A5" activePane="bottomLeft" state="frozen"/>
      <selection pane="bottomLeft" activeCell="A1" sqref="A1"/>
    </sheetView>
  </sheetViews>
  <sheetFormatPr baseColWidth="8" defaultRowHeight="15"/>
  <cols>
    <col width="4" customWidth="1" min="1" max="1"/>
    <col width="18" customWidth="1" min="2" max="2"/>
    <col width="30" customWidth="1" min="3" max="3"/>
    <col width="40" customWidth="1" min="4" max="4"/>
    <col width="50" customWidth="1" min="5" max="5"/>
    <col width="10" customWidth="1" min="6" max="6"/>
  </cols>
  <sheetData>
    <row r="1" ht="26" customHeight="1">
      <c r="A1" s="17" t="inlineStr">
        <is>
          <t>Hazard Gap Register — Not Yet in Master Hazard Register</t>
        </is>
      </c>
    </row>
    <row r="2" ht="18" customHeight="1">
      <c r="A2" s="18" t="inlineStr">
        <is>
          <t>27 gap items identified by cross-referencing site RAMS against fessgroup.co.uk service scope and food-sector norms</t>
        </is>
      </c>
    </row>
    <row r="4" ht="32" customHeight="1">
      <c r="A4" s="1" t="inlineStr">
        <is>
          <t>#</t>
        </is>
      </c>
      <c r="B4" s="1" t="inlineStr">
        <is>
          <t>Category</t>
        </is>
      </c>
      <c r="C4" s="1" t="inlineStr">
        <is>
          <t>Hazard / Gap</t>
        </is>
      </c>
      <c r="D4" s="1" t="inlineStr">
        <is>
          <t>Why It Matters</t>
        </is>
      </c>
      <c r="E4" s="1" t="inlineStr">
        <is>
          <t>Suggested Control Measures</t>
        </is>
      </c>
      <c r="F4" s="1" t="inlineStr">
        <is>
          <t>Priority</t>
        </is>
      </c>
    </row>
    <row r="5">
      <c r="A5" s="19" t="n">
        <v>1</v>
      </c>
      <c r="B5" s="19" t="inlineStr">
        <is>
          <t>Food Safety</t>
        </is>
      </c>
      <c r="C5" s="19" t="inlineStr">
        <is>
          <t>Allergen cross-contamination</t>
        </is>
      </c>
      <c r="D5" s="19" t="inlineStr">
        <is>
          <t>Engineers move between allergen zones carrying tools/parts</t>
        </is>
      </c>
      <c r="E5" s="19" t="inlineStr">
        <is>
          <t>Allergen briefing before entry; dedicated tool sets per zone; no food/drink from other areas</t>
        </is>
      </c>
      <c r="F5" s="21" t="inlineStr">
        <is>
          <t>P1</t>
        </is>
      </c>
    </row>
    <row r="6">
      <c r="A6" s="19" t="n">
        <v>2</v>
      </c>
      <c r="B6" s="19" t="inlineStr">
        <is>
          <t>Food Safety</t>
        </is>
      </c>
      <c r="C6" s="19" t="inlineStr">
        <is>
          <t>Foreign body / product contamination</t>
        </is>
      </c>
      <c r="D6" s="19" t="inlineStr">
        <is>
          <t>Drilling/cutting directly above open product lines</t>
        </is>
      </c>
      <c r="E6" s="19" t="inlineStr">
        <is>
          <t>Line stoppage/isolation before overhead work; magnetic sweep after; metal detector challenge test</t>
        </is>
      </c>
      <c r="F6" s="21" t="inlineStr">
        <is>
          <t>P1</t>
        </is>
      </c>
    </row>
    <row r="7">
      <c r="A7" s="19" t="n">
        <v>3</v>
      </c>
      <c r="B7" s="19" t="inlineStr">
        <is>
          <t>Food Safety</t>
        </is>
      </c>
      <c r="C7" s="19" t="inlineStr">
        <is>
          <t>High-care/low-care/high-risk segregation</t>
        </is>
      </c>
      <c r="D7" s="19" t="inlineStr">
        <is>
          <t>FESS markets High-Care Food Projects but no RAMS covers it</t>
        </is>
      </c>
      <c r="E7" s="19" t="inlineStr">
        <is>
          <t>Colour-coded PPE per zone; no tool/footwear crossover; hand/boot-wash station use</t>
        </is>
      </c>
      <c r="F7" s="21" t="inlineStr">
        <is>
          <t>P1</t>
        </is>
      </c>
    </row>
    <row r="8">
      <c r="A8" s="19" t="n">
        <v>4</v>
      </c>
      <c r="B8" s="19" t="inlineStr">
        <is>
          <t>Food Safety</t>
        </is>
      </c>
      <c r="C8" s="19" t="inlineStr">
        <is>
          <t>Glass &amp; hard plastic (G&amp;HP) policy</t>
        </is>
      </c>
      <c r="D8" s="19" t="inlineStr">
        <is>
          <t>Standard requirement when cutting/removing brittle materials near product</t>
        </is>
      </c>
      <c r="E8" s="19" t="inlineStr">
        <is>
          <t>G&amp;HP register entry for items brought on site; breakage reporting procedure</t>
        </is>
      </c>
      <c r="F8" s="21" t="inlineStr">
        <is>
          <t>P1</t>
        </is>
      </c>
    </row>
    <row r="9">
      <c r="A9" s="2" t="n">
        <v>5</v>
      </c>
      <c r="B9" s="2" t="inlineStr">
        <is>
          <t>Food Safety</t>
        </is>
      </c>
      <c r="C9" s="2" t="inlineStr">
        <is>
          <t>Personal effects / jewellery policy</t>
        </is>
      </c>
      <c r="D9" s="2" t="inlineStr">
        <is>
          <t>Standard high-care requirement, absent everywhere</t>
        </is>
      </c>
      <c r="E9" s="2" t="inlineStr">
        <is>
          <t>No loose jewellery/false nails/unprotected plasters; tool tethering above product</t>
        </is>
      </c>
      <c r="F9" s="23" t="inlineStr">
        <is>
          <t>P2</t>
        </is>
      </c>
    </row>
    <row r="10">
      <c r="A10" s="2" t="n">
        <v>6</v>
      </c>
      <c r="B10" s="2" t="inlineStr">
        <is>
          <t>Food Safety</t>
        </is>
      </c>
      <c r="C10" s="2" t="inlineStr">
        <is>
          <t>Pest control interaction</t>
        </is>
      </c>
      <c r="D10" s="2" t="inlineStr">
        <is>
          <t>Engineers open voids/cavities — common bait station locations</t>
        </is>
      </c>
      <c r="E10" s="2" t="inlineStr">
        <is>
          <t>Check for bait stations before disturbing voids; report pest evidence</t>
        </is>
      </c>
      <c r="F10" s="23" t="inlineStr">
        <is>
          <t>P2</t>
        </is>
      </c>
    </row>
    <row r="11">
      <c r="A11" s="2" t="n">
        <v>7</v>
      </c>
      <c r="B11" s="2" t="inlineStr">
        <is>
          <t>Food Safety</t>
        </is>
      </c>
      <c r="C11" s="2" t="inlineStr">
        <is>
          <t>Food-grade lubricants/sealants</t>
        </is>
      </c>
      <c r="D11" s="2" t="inlineStr">
        <is>
          <t>No RAMS specifies food-grade requirement</t>
        </is>
      </c>
      <c r="E11" s="2" t="inlineStr">
        <is>
          <t>Only NSF H1-rated lubricants/sealants within product zones</t>
        </is>
      </c>
      <c r="F11" s="23" t="inlineStr">
        <is>
          <t>P2</t>
        </is>
      </c>
    </row>
    <row r="12">
      <c r="A12" s="19" t="n">
        <v>8</v>
      </c>
      <c r="B12" s="19" t="inlineStr">
        <is>
          <t>Process Safety</t>
        </is>
      </c>
      <c r="C12" s="19" t="inlineStr">
        <is>
          <t>Refrigeration / ammonia &amp; CO2 systems</t>
        </is>
      </c>
      <c r="D12" s="19" t="inlineStr">
        <is>
          <t>RO room, tank/kettletank work at Scunthorpe implies process refrigeration</t>
        </is>
      </c>
      <c r="E12" s="19" t="inlineStr">
        <is>
          <t>Refrigerant exposure RA; gas detection before entry; F-Gas controls; leak evacuation procedure</t>
        </is>
      </c>
      <c r="F12" s="21" t="inlineStr">
        <is>
          <t>P1</t>
        </is>
      </c>
    </row>
    <row r="13">
      <c r="A13" s="19" t="n">
        <v>9</v>
      </c>
      <c r="B13" s="19" t="inlineStr">
        <is>
          <t>Process Safety</t>
        </is>
      </c>
      <c r="C13" s="19" t="inlineStr">
        <is>
          <t>Confined space entry (full protocol)</t>
        </is>
      </c>
      <c r="D13" s="19" t="inlineStr">
        <is>
          <t>Current RA only covers electric shock in voids — no atmosphere test/permit/rescue plan</t>
        </is>
      </c>
      <c r="E13" s="19" t="inlineStr">
        <is>
          <t>Full confined space RA: atmosphere testing, gas monitor, top-man, rescue plan, permit, no lone entry</t>
        </is>
      </c>
      <c r="F13" s="21" t="inlineStr">
        <is>
          <t>P1</t>
        </is>
      </c>
    </row>
    <row r="14">
      <c r="A14" s="19" t="n">
        <v>10</v>
      </c>
      <c r="B14" s="19" t="inlineStr">
        <is>
          <t>Process Safety</t>
        </is>
      </c>
      <c r="C14" s="19" t="inlineStr">
        <is>
          <t>ATEX / combustible dust explosion</t>
        </is>
      </c>
      <c r="D14" s="19" t="inlineStr">
        <is>
          <t>Flour/protein/sugar dust + hot work/grinding = classic ATEX risk</t>
        </is>
      </c>
      <c r="E14" s="19" t="inlineStr">
        <is>
          <t>Dust explosion RA for hot work in ATEX zones; zone classification check before permit issued</t>
        </is>
      </c>
      <c r="F14" s="21" t="inlineStr">
        <is>
          <t>P1</t>
        </is>
      </c>
    </row>
    <row r="15">
      <c r="A15" s="2" t="n">
        <v>11</v>
      </c>
      <c r="B15" s="2" t="inlineStr">
        <is>
          <t>Process Safety</t>
        </is>
      </c>
      <c r="C15" s="2" t="inlineStr">
        <is>
          <t>Legionella / water hygiene</t>
        </is>
      </c>
      <c r="D15" s="2" t="inlineStr">
        <is>
          <t>RO installation and water pipe work touches water systems directly</t>
        </is>
      </c>
      <c r="E15" s="2" t="inlineStr">
        <is>
          <t>Legionella awareness for anyone opening water systems; sampling notification; flushing procedure</t>
        </is>
      </c>
      <c r="F15" s="23" t="inlineStr">
        <is>
          <t>P2</t>
        </is>
      </c>
    </row>
    <row r="16">
      <c r="A16" s="2" t="n">
        <v>12</v>
      </c>
      <c r="B16" s="2" t="inlineStr">
        <is>
          <t>Process Safety</t>
        </is>
      </c>
      <c r="C16" s="2" t="inlineStr">
        <is>
          <t>Cold store / freezer / low-temp work</t>
        </is>
      </c>
      <c r="D16" s="2" t="inlineStr">
        <is>
          <t>Common in food/pet food factories FESS serves, unaddressed</t>
        </is>
      </c>
      <c r="E16" s="2" t="inlineStr">
        <is>
          <t>Cold stress RA; max exposure time; warm-up breaks; cold-weather PPE</t>
        </is>
      </c>
      <c r="F16" s="23" t="inlineStr">
        <is>
          <t>P2</t>
        </is>
      </c>
    </row>
    <row r="17">
      <c r="A17" s="19" t="n">
        <v>13</v>
      </c>
      <c r="B17" s="19" t="inlineStr">
        <is>
          <t>Lifting</t>
        </is>
      </c>
      <c r="C17" s="19" t="inlineStr">
        <is>
          <t>LOLER — lifting operations &amp; equipment</t>
        </is>
      </c>
      <c r="D17" s="19" t="inlineStr">
        <is>
          <t>Machine install/relocation work clearly involves slinging/lifting, no LOLER RA exists</t>
        </is>
      </c>
      <c r="E17" s="19" t="inlineStr">
        <is>
          <t>Lift plan per machine move; lifting equipment inspection records; competent slinger/signaller; exclusion zone under load</t>
        </is>
      </c>
      <c r="F17" s="21" t="inlineStr">
        <is>
          <t>P1</t>
        </is>
      </c>
    </row>
    <row r="18">
      <c r="A18" s="2" t="n">
        <v>14</v>
      </c>
      <c r="B18" s="2" t="inlineStr">
        <is>
          <t>Equipment</t>
        </is>
      </c>
      <c r="C18" s="2" t="inlineStr">
        <is>
          <t>PUWER — work equipment compliance</t>
        </is>
      </c>
      <c r="D18" s="2" t="inlineStr">
        <is>
          <t>Machinery install/decommission should reference PUWER</t>
        </is>
      </c>
      <c r="E18" s="2" t="inlineStr">
        <is>
          <t>PUWER check before handover; guarding verification; isolation points identified</t>
        </is>
      </c>
      <c r="F18" s="23" t="inlineStr">
        <is>
          <t>P2</t>
        </is>
      </c>
    </row>
    <row r="19">
      <c r="A19" s="19" t="n">
        <v>15</v>
      </c>
      <c r="B19" s="19" t="inlineStr">
        <is>
          <t>Health</t>
        </is>
      </c>
      <c r="C19" s="19" t="inlineStr">
        <is>
          <t>HAVS — hand-arm vibration</t>
        </is>
      </c>
      <c r="D19" s="19" t="inlineStr">
        <is>
          <t>Extensive angle grinder/drilling use, zero vibration control anywhere</t>
        </is>
      </c>
      <c r="E19" s="19" t="inlineStr">
        <is>
          <t>Trigger-time limits; tool vibration magnitude data; HAVS health surveillance referral</t>
        </is>
      </c>
      <c r="F19" s="21" t="inlineStr">
        <is>
          <t>P1</t>
        </is>
      </c>
    </row>
    <row r="20">
      <c r="A20" s="2" t="n">
        <v>16</v>
      </c>
      <c r="B20" s="2" t="inlineStr">
        <is>
          <t>Environmental</t>
        </is>
      </c>
      <c r="C20" s="2" t="inlineStr">
        <is>
          <t>Waste management</t>
        </is>
      </c>
      <c r="D20" s="2" t="inlineStr">
        <is>
          <t>Decommissioning/removal work generates waste streams, unaddressed</t>
        </is>
      </c>
      <c r="E20" s="2" t="inlineStr">
        <is>
          <t>Waste segregation/disposal RA; oil/refrigerant containment; spill kit availability</t>
        </is>
      </c>
      <c r="F20" s="23" t="inlineStr">
        <is>
          <t>P2</t>
        </is>
      </c>
    </row>
    <row r="21">
      <c r="A21" s="19" t="n">
        <v>17</v>
      </c>
      <c r="B21" s="19" t="inlineStr">
        <is>
          <t>Structural</t>
        </is>
      </c>
      <c r="C21" s="19" t="inlineStr">
        <is>
          <t>Asbestos management</t>
        </is>
      </c>
      <c r="D21" s="19" t="inlineStr">
        <is>
          <t>Older food factory buildings, roof void work at Scunthorpe (FP1)</t>
        </is>
      </c>
      <c r="E21" s="19" t="inlineStr">
        <is>
          <t>Asbestos register check before disturbing fabric; refer to site Asbestos Management Survey</t>
        </is>
      </c>
      <c r="F21" s="21" t="inlineStr">
        <is>
          <t>P1</t>
        </is>
      </c>
    </row>
    <row r="22">
      <c r="A22" s="2" t="n">
        <v>18</v>
      </c>
      <c r="B22" s="2" t="inlineStr">
        <is>
          <t>Lone Working</t>
        </is>
      </c>
      <c r="C22" s="2" t="inlineStr">
        <is>
          <t>Lone working on callouts</t>
        </is>
      </c>
      <c r="D22" s="2" t="inlineStr">
        <is>
          <t>Callout works (spiral conveyor) suggest single-engineer attendance</t>
        </is>
      </c>
      <c r="E22" s="2" t="inlineStr">
        <is>
          <t>Lone worker check-in procedure; emergency contact protocol; no confined space/live electrical lone work</t>
        </is>
      </c>
      <c r="F22" s="23" t="inlineStr">
        <is>
          <t>P2</t>
        </is>
      </c>
    </row>
    <row r="23">
      <c r="A23" s="7" t="n">
        <v>19</v>
      </c>
      <c r="B23" s="7" t="inlineStr">
        <is>
          <t>Fatigue</t>
        </is>
      </c>
      <c r="C23" s="7" t="inlineStr">
        <is>
          <t>Night shift / fatigue</t>
        </is>
      </c>
      <c r="D23" s="7" t="inlineStr">
        <is>
          <t>FESS offers 24/7 call-out support</t>
        </is>
      </c>
      <c r="E23" s="7" t="inlineStr">
        <is>
          <t>Fatigue management for extended/night callouts; driving risk assessment after night shift</t>
        </is>
      </c>
      <c r="F23" s="34" t="inlineStr">
        <is>
          <t>P3</t>
        </is>
      </c>
    </row>
    <row r="24">
      <c r="A24" s="2" t="n">
        <v>20</v>
      </c>
      <c r="B24" s="2" t="inlineStr">
        <is>
          <t>Traffic</t>
        </is>
      </c>
      <c r="C24" s="2" t="inlineStr">
        <is>
          <t>Yard traffic / vehicle movement</t>
        </is>
      </c>
      <c r="D24" s="2" t="inlineStr">
        <is>
          <t>Multiple sites involve FLT + delivery but no traffic management plan referenced</t>
        </is>
      </c>
      <c r="E24" s="2" t="inlineStr">
        <is>
          <t>Pedestrian/vehicle segregation; delivery banksman; site traffic plan on induction</t>
        </is>
      </c>
      <c r="F24" s="23" t="inlineStr">
        <is>
          <t>P2</t>
        </is>
      </c>
    </row>
    <row r="25">
      <c r="A25" s="2" t="n">
        <v>21</v>
      </c>
      <c r="B25" s="2" t="inlineStr">
        <is>
          <t>Pressure Systems</t>
        </is>
      </c>
      <c r="C25" s="2" t="inlineStr">
        <is>
          <t>Boiler / pressure vessel work</t>
        </is>
      </c>
      <c r="D25" s="2" t="inlineStr">
        <is>
          <t>Tank relocation and kettletank removal imply pressure vessel handling</t>
        </is>
      </c>
      <c r="E25" s="2" t="inlineStr">
        <is>
          <t>Pressure vessel isolation/venting procedure; competent person sign-off</t>
        </is>
      </c>
      <c r="F25" s="23" t="inlineStr">
        <is>
          <t>P2</t>
        </is>
      </c>
    </row>
    <row r="26">
      <c r="A26" s="7" t="n">
        <v>22</v>
      </c>
      <c r="B26" s="7" t="inlineStr">
        <is>
          <t>Gas</t>
        </is>
      </c>
      <c r="C26" s="7" t="inlineStr">
        <is>
          <t>Gas Safe work (if applicable)</t>
        </is>
      </c>
      <c r="D26" s="7" t="inlineStr">
        <is>
          <t>Relevant if FESS touches gas-fired process equipment</t>
        </is>
      </c>
      <c r="E26" s="7" t="inlineStr">
        <is>
          <t>Gas Safe registered engineer requirement; gas isolation procedure</t>
        </is>
      </c>
      <c r="F26" s="34" t="inlineStr">
        <is>
          <t>P3</t>
        </is>
      </c>
    </row>
    <row r="27">
      <c r="A27" s="19" t="n">
        <v>23</v>
      </c>
      <c r="B27" s="19" t="inlineStr">
        <is>
          <t>Automation</t>
        </is>
      </c>
      <c r="C27" s="19" t="inlineStr">
        <is>
          <t>SCADA / control panel / automation work</t>
        </is>
      </c>
      <c r="D27" s="19" t="inlineStr">
        <is>
          <t>Direct FESS service line, zero RAMS coverage exists</t>
        </is>
      </c>
      <c r="E27" s="19" t="inlineStr">
        <is>
          <t>Control panel live-working RA; arc flash assessment; PLC change control; line lockout during panel work</t>
        </is>
      </c>
      <c r="F27" s="21" t="inlineStr">
        <is>
          <t>P1</t>
        </is>
      </c>
    </row>
    <row r="28">
      <c r="A28" s="7" t="n">
        <v>24</v>
      </c>
      <c r="B28" s="7" t="inlineStr">
        <is>
          <t>Inspection Equipment</t>
        </is>
      </c>
      <c r="C28" s="7" t="inlineStr">
        <is>
          <t>Metal detection / X-ray inspection install</t>
        </is>
      </c>
      <c r="D28" s="7" t="inlineStr">
        <is>
          <t>Direct FESS service line, no RAMS exists</t>
        </is>
      </c>
      <c r="E28" s="7" t="inlineStr">
        <is>
          <t>Radiation safety RA for X-ray systems; calibration/commissioning procedure</t>
        </is>
      </c>
      <c r="F28" s="34" t="inlineStr">
        <is>
          <t>P3</t>
        </is>
      </c>
    </row>
    <row r="29">
      <c r="A29" s="19" t="n">
        <v>25</v>
      </c>
      <c r="B29" s="19" t="inlineStr">
        <is>
          <t>Machinery</t>
        </is>
      </c>
      <c r="C29" s="19" t="inlineStr">
        <is>
          <t>Conveyor belt install/maintenance nip points</t>
        </is>
      </c>
      <c r="D29" s="19" t="inlineStr">
        <is>
          <t>Direct FESS service line, partially touched but no nip-point-specific RA</t>
        </is>
      </c>
      <c r="E29" s="19" t="inlineStr">
        <is>
          <t>Nip point/entrapment RA; guarding verification before re-energising; belt tensioning procedure</t>
        </is>
      </c>
      <c r="F29" s="21" t="inlineStr">
        <is>
          <t>P1</t>
        </is>
      </c>
    </row>
    <row r="30">
      <c r="A30" s="19" t="n">
        <v>26</v>
      </c>
      <c r="B30" s="19" t="inlineStr">
        <is>
          <t>Construction</t>
        </is>
      </c>
      <c r="C30" s="19" t="inlineStr">
        <is>
          <t>CDM 2015 role/duty framework</t>
        </is>
      </c>
      <c r="D30" s="19" t="inlineStr">
        <is>
          <t>CDM Services is a named FESS service line, zero CDM framework referenced in any RAMS</t>
        </is>
      </c>
      <c r="E30" s="19" t="inlineStr">
        <is>
          <t>Principal Contractor/Designer duties; Construction Phase Plan; F10 notification where applicable</t>
        </is>
      </c>
      <c r="F30" s="21" t="inlineStr">
        <is>
          <t>P1</t>
        </is>
      </c>
    </row>
    <row r="31">
      <c r="A31" s="19" t="n">
        <v>27</v>
      </c>
      <c r="B31" s="19" t="inlineStr">
        <is>
          <t>Cleanroom/Hazardous Area</t>
        </is>
      </c>
      <c r="C31" s="19" t="inlineStr">
        <is>
          <t>Petrochemical &amp; Pharmaceutical site protocols</t>
        </is>
      </c>
      <c r="D31" s="19" t="inlineStr">
        <is>
          <t>FESS lists these as active industries with zero RAMS coverage for either</t>
        </is>
      </c>
      <c r="E31" s="19" t="inlineStr">
        <is>
          <t>Hazardous area classification RAMS (petrochem); GMP/cleanroom RAMS (pharma) — build proactively</t>
        </is>
      </c>
      <c r="F31" s="21" t="inlineStr">
        <is>
          <t>P1</t>
        </is>
      </c>
    </row>
  </sheetData>
  <autoFilter ref="A4:F31"/>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
  <sheetViews>
    <sheetView showGridLines="0" workbookViewId="0">
      <pane ySplit="4" topLeftCell="A5" activePane="bottomLeft" state="frozen"/>
      <selection pane="bottomLeft" activeCell="A1" sqref="A1"/>
    </sheetView>
  </sheetViews>
  <sheetFormatPr baseColWidth="8" defaultRowHeight="15"/>
  <cols>
    <col width="28" customWidth="1" min="1" max="1"/>
    <col width="40" customWidth="1" min="2" max="2"/>
    <col width="5" customWidth="1" min="3" max="3"/>
    <col width="5" customWidth="1" min="4" max="4"/>
    <col width="12" customWidth="1" min="5" max="5"/>
    <col width="55" customWidth="1" min="6" max="6"/>
    <col width="10" customWidth="1" min="7" max="7"/>
    <col width="10" customWidth="1" min="8" max="8"/>
    <col width="12" customWidth="1" min="9" max="9"/>
    <col width="10" customWidth="1" min="10" max="10"/>
  </cols>
  <sheetData>
    <row r="1" ht="26" customHeight="1">
      <c r="A1" s="17" t="inlineStr">
        <is>
          <t>New Risk Assessment Rows — FESS Template Format</t>
        </is>
      </c>
    </row>
    <row r="2" ht="18" customHeight="1">
      <c r="A2" s="18" t="inlineStr">
        <is>
          <t>Formatted exactly like the existing FESS RA columns (Activity / Additional Hazard / L S RF / Control Measures / Revised L S RF) — copy straight into the next RAMS revision</t>
        </is>
      </c>
    </row>
    <row r="4" ht="32" customHeight="1">
      <c r="A4" s="1" t="inlineStr">
        <is>
          <t>Activity</t>
        </is>
      </c>
      <c r="B4" s="1" t="inlineStr">
        <is>
          <t>Additional Hazard</t>
        </is>
      </c>
      <c r="C4" s="1" t="inlineStr">
        <is>
          <t>L</t>
        </is>
      </c>
      <c r="D4" s="1" t="inlineStr">
        <is>
          <t>S</t>
        </is>
      </c>
      <c r="E4" s="1" t="inlineStr">
        <is>
          <t>RF (LxS)</t>
        </is>
      </c>
      <c r="F4" s="1" t="inlineStr">
        <is>
          <t>Control Measures</t>
        </is>
      </c>
      <c r="G4" s="1" t="inlineStr">
        <is>
          <t>Revised L</t>
        </is>
      </c>
      <c r="H4" s="1" t="inlineStr">
        <is>
          <t>Revised S</t>
        </is>
      </c>
      <c r="I4" s="1" t="inlineStr">
        <is>
          <t>Revised RF</t>
        </is>
      </c>
      <c r="J4" s="1" t="inlineStr">
        <is>
          <t>Risk Band</t>
        </is>
      </c>
    </row>
    <row r="5">
      <c r="A5" s="2" t="inlineStr">
        <is>
          <t>Working in allergen-controlled zones</t>
        </is>
      </c>
      <c r="B5" s="2" t="inlineStr">
        <is>
          <t>Cross-contamination from tools/parts moved between allergen zones</t>
        </is>
      </c>
      <c r="C5" s="39" t="n">
        <v>4</v>
      </c>
      <c r="D5" s="39" t="n">
        <v>4</v>
      </c>
      <c r="E5" s="39" t="inlineStr">
        <is>
          <t>4x4=16</t>
        </is>
      </c>
      <c r="F5" s="2" t="inlineStr">
        <is>
          <t>Allergen briefing before entry. Dedicated tool sets per zone, clearly tagged. No food/drink brought in from other zones. Hands washed/sanitised on zone entry.</t>
        </is>
      </c>
      <c r="G5" s="39" t="n">
        <v>2</v>
      </c>
      <c r="H5" s="39" t="n">
        <v>4</v>
      </c>
      <c r="I5" s="39" t="inlineStr">
        <is>
          <t>2x4=8</t>
        </is>
      </c>
      <c r="J5" s="39" t="inlineStr">
        <is>
          <t>MEDIUM</t>
        </is>
      </c>
    </row>
    <row r="6">
      <c r="A6" s="2" t="inlineStr">
        <is>
          <t>Working above or adjacent to open product lines</t>
        </is>
      </c>
      <c r="B6" s="2" t="inlineStr">
        <is>
          <t>Foreign body contamination from drilling/cutting/loose parts falling into product</t>
        </is>
      </c>
      <c r="C6" s="39" t="n">
        <v>4</v>
      </c>
      <c r="D6" s="39" t="n">
        <v>6</v>
      </c>
      <c r="E6" s="39" t="inlineStr">
        <is>
          <t>4x6=24</t>
        </is>
      </c>
      <c r="F6" s="2" t="inlineStr">
        <is>
          <t>Line stopped or physically isolated/covered before overhead work begins. Magnetic sweep and visual inspection of area after work. Metal detector challenge test carried out before line restart.</t>
        </is>
      </c>
      <c r="G6" s="39" t="n">
        <v>2</v>
      </c>
      <c r="H6" s="39" t="n">
        <v>6</v>
      </c>
      <c r="I6" s="39" t="inlineStr">
        <is>
          <t>2x6=12</t>
        </is>
      </c>
      <c r="J6" s="39" t="inlineStr">
        <is>
          <t>MEDIUM</t>
        </is>
      </c>
    </row>
    <row r="7">
      <c r="A7" s="2" t="inlineStr">
        <is>
          <t>Access to High-Care / High-Risk zones</t>
        </is>
      </c>
      <c r="B7" s="2" t="inlineStr">
        <is>
          <t>Cross-contamination between low-care and high-care areas via footwear, clothing, tools</t>
        </is>
      </c>
      <c r="C7" s="39" t="n">
        <v>4</v>
      </c>
      <c r="D7" s="39" t="n">
        <v>4</v>
      </c>
      <c r="E7" s="39" t="inlineStr">
        <is>
          <t>4x4=16</t>
        </is>
      </c>
      <c r="F7" s="2" t="inlineStr">
        <is>
          <t>Zone-specific colour-coded PPE. No crossover of tools/footwear between zones. Boot-wash and hand-wash station used on every zone transition.</t>
        </is>
      </c>
      <c r="G7" s="39" t="n">
        <v>2</v>
      </c>
      <c r="H7" s="39" t="n">
        <v>4</v>
      </c>
      <c r="I7" s="39" t="inlineStr">
        <is>
          <t>2x4=8</t>
        </is>
      </c>
      <c r="J7" s="39" t="inlineStr">
        <is>
          <t>MEDIUM</t>
        </is>
      </c>
    </row>
    <row r="8">
      <c r="A8" s="2" t="inlineStr">
        <is>
          <t>Bringing glass or hard plastic items into production areas</t>
        </is>
      </c>
      <c r="B8" s="2" t="inlineStr">
        <is>
          <t>Breakage causing foreign body contamination risk</t>
        </is>
      </c>
      <c r="C8" s="39" t="n">
        <v>2</v>
      </c>
      <c r="D8" s="39" t="n">
        <v>6</v>
      </c>
      <c r="E8" s="39" t="inlineStr">
        <is>
          <t>2x6=12</t>
        </is>
      </c>
      <c r="F8" s="2" t="inlineStr">
        <is>
          <t>All glass/brittle plastic items logged on site Glass &amp; Hard Plastic register before entry. Any breakage reported immediately and area quarantined pending inspection.</t>
        </is>
      </c>
      <c r="G8" s="39" t="n">
        <v>2</v>
      </c>
      <c r="H8" s="39" t="n">
        <v>2</v>
      </c>
      <c r="I8" s="39" t="inlineStr">
        <is>
          <t>2x2=4</t>
        </is>
      </c>
      <c r="J8" s="39" t="inlineStr">
        <is>
          <t>MEDIUM</t>
        </is>
      </c>
    </row>
    <row r="9">
      <c r="A9" s="7" t="inlineStr">
        <is>
          <t>General site work in food production areas</t>
        </is>
      </c>
      <c r="B9" s="7" t="inlineStr">
        <is>
          <t>Loose jewellery, false nails, unprotected plasters as foreign body risk</t>
        </is>
      </c>
      <c r="C9" s="40" t="n">
        <v>2</v>
      </c>
      <c r="D9" s="40" t="n">
        <v>4</v>
      </c>
      <c r="E9" s="40" t="inlineStr">
        <is>
          <t>2x4=8</t>
        </is>
      </c>
      <c r="F9" s="7" t="inlineStr">
        <is>
          <t>No loose jewellery, watches, false nails. Any plasters used must be blue/metal-detectable and covered with a glove.</t>
        </is>
      </c>
      <c r="G9" s="40" t="n">
        <v>1</v>
      </c>
      <c r="H9" s="40" t="n">
        <v>4</v>
      </c>
      <c r="I9" s="40" t="inlineStr">
        <is>
          <t>1x4=4</t>
        </is>
      </c>
      <c r="J9" s="40" t="inlineStr">
        <is>
          <t>LOW</t>
        </is>
      </c>
    </row>
    <row r="10">
      <c r="A10" s="7" t="inlineStr">
        <is>
          <t>Opening ceiling voids, wall cavities, floor voids</t>
        </is>
      </c>
      <c r="B10" s="7" t="inlineStr">
        <is>
          <t>Disturbance of pest control bait stations, exposure to pest activity</t>
        </is>
      </c>
      <c r="C10" s="40" t="n">
        <v>2</v>
      </c>
      <c r="D10" s="40" t="n">
        <v>4</v>
      </c>
      <c r="E10" s="40" t="inlineStr">
        <is>
          <t>2x4=8</t>
        </is>
      </c>
      <c r="F10" s="7" t="inlineStr">
        <is>
          <t>Check for pest control bait stations before disturbing voids. Report any evidence of pest activity to site QA/pest control contractor before continuing.</t>
        </is>
      </c>
      <c r="G10" s="40" t="n">
        <v>1</v>
      </c>
      <c r="H10" s="40" t="n">
        <v>2</v>
      </c>
      <c r="I10" s="40" t="inlineStr">
        <is>
          <t>1x2=2</t>
        </is>
      </c>
      <c r="J10" s="40" t="inlineStr">
        <is>
          <t>LOW</t>
        </is>
      </c>
    </row>
    <row r="11">
      <c r="A11" s="2" t="inlineStr">
        <is>
          <t>Use of lubricants, sealants, threadlocker near product zones</t>
        </is>
      </c>
      <c r="B11" s="2" t="inlineStr">
        <is>
          <t>Non-food-grade chemicals contaminating product or surfaces</t>
        </is>
      </c>
      <c r="C11" s="39" t="n">
        <v>2</v>
      </c>
      <c r="D11" s="39" t="n">
        <v>6</v>
      </c>
      <c r="E11" s="39" t="inlineStr">
        <is>
          <t>2x6=12</t>
        </is>
      </c>
      <c r="F11" s="2" t="inlineStr">
        <is>
          <t>Only NSF H1-rated food-grade lubricants and sealants used within product zones. MSDS held on site for all substances.</t>
        </is>
      </c>
      <c r="G11" s="39" t="n">
        <v>1</v>
      </c>
      <c r="H11" s="39" t="n">
        <v>6</v>
      </c>
      <c r="I11" s="39" t="inlineStr">
        <is>
          <t>1x6=6</t>
        </is>
      </c>
      <c r="J11" s="39" t="inlineStr">
        <is>
          <t>MEDIUM</t>
        </is>
      </c>
    </row>
    <row r="12">
      <c r="A12" s="2" t="inlineStr">
        <is>
          <t>Working on or near ammonia/CO2 refrigeration plant</t>
        </is>
      </c>
      <c r="B12" s="2" t="inlineStr">
        <is>
          <t>Toxic gas exposure, asphyxiation, cold burns from refrigerant leak</t>
        </is>
      </c>
      <c r="C12" s="39" t="n">
        <v>2</v>
      </c>
      <c r="D12" s="39" t="n">
        <v>6</v>
      </c>
      <c r="E12" s="39" t="inlineStr">
        <is>
          <t>2x6=12</t>
        </is>
      </c>
      <c r="F12" s="2" t="inlineStr">
        <is>
          <t>Refrigerant-specific RA and permit required before work starts. Gas detector used before and during entry to plant room. F-Gas certified engineer only. Emergency evacuation procedure briefed on induction.</t>
        </is>
      </c>
      <c r="G12" s="39" t="n">
        <v>1</v>
      </c>
      <c r="H12" s="39" t="n">
        <v>6</v>
      </c>
      <c r="I12" s="39" t="inlineStr">
        <is>
          <t>1x6=6</t>
        </is>
      </c>
      <c r="J12" s="39" t="inlineStr">
        <is>
          <t>MEDIUM</t>
        </is>
      </c>
    </row>
    <row r="13">
      <c r="A13" s="2" t="inlineStr">
        <is>
          <t>Entry into confined spaces (tanks, voids, pits)</t>
        </is>
      </c>
      <c r="B13" s="2" t="inlineStr">
        <is>
          <t>Oxygen deficiency, toxic atmosphere, entrapment, difficulty of rescue</t>
        </is>
      </c>
      <c r="C13" s="39" t="n">
        <v>2</v>
      </c>
      <c r="D13" s="39" t="n">
        <v>6</v>
      </c>
      <c r="E13" s="39" t="inlineStr">
        <is>
          <t>2x6=12</t>
        </is>
      </c>
      <c r="F13" s="2" t="inlineStr">
        <is>
          <t>Confined Space Entry Permit required. Atmosphere tested before entry and continuously monitored. Top-man in constant attendance. Rescue plan and equipment in place before entry. No lone entry under any circumstances.</t>
        </is>
      </c>
      <c r="G13" s="39" t="n">
        <v>1</v>
      </c>
      <c r="H13" s="39" t="n">
        <v>6</v>
      </c>
      <c r="I13" s="39" t="inlineStr">
        <is>
          <t>1x6=6</t>
        </is>
      </c>
      <c r="J13" s="39" t="inlineStr">
        <is>
          <t>MEDIUM</t>
        </is>
      </c>
    </row>
    <row r="14">
      <c r="A14" s="2" t="inlineStr">
        <is>
          <t>Hot work or grinding in areas with combustible dust (flour, protein, sugar)</t>
        </is>
      </c>
      <c r="B14" s="2" t="inlineStr">
        <is>
          <t>Dust explosion (ATEX) from ignition source in a dust-laden atmosphere</t>
        </is>
      </c>
      <c r="C14" s="39" t="n">
        <v>2</v>
      </c>
      <c r="D14" s="39" t="n">
        <v>6</v>
      </c>
      <c r="E14" s="39" t="inlineStr">
        <is>
          <t>2x6=12</t>
        </is>
      </c>
      <c r="F14" s="2" t="inlineStr">
        <is>
          <t>Zone classification checked before Hot Work Permit issued. Area vacuumed/cleaned of dust accumulation before hot work. Fire watch maintained during and after work. Ignition sources controlled per DSEAR.</t>
        </is>
      </c>
      <c r="G14" s="39" t="n">
        <v>1</v>
      </c>
      <c r="H14" s="39" t="n">
        <v>6</v>
      </c>
      <c r="I14" s="39" t="inlineStr">
        <is>
          <t>1x6=6</t>
        </is>
      </c>
      <c r="J14" s="39" t="inlineStr">
        <is>
          <t>MEDIUM</t>
        </is>
      </c>
    </row>
    <row r="15">
      <c r="A15" s="7" t="inlineStr">
        <is>
          <t>Opening or working on water systems (RO, pipework, tanks)</t>
        </is>
      </c>
      <c r="B15" s="7" t="inlineStr">
        <is>
          <t>Legionella exposure from aerosolised water during system disturbance</t>
        </is>
      </c>
      <c r="C15" s="40" t="n">
        <v>2</v>
      </c>
      <c r="D15" s="40" t="n">
        <v>4</v>
      </c>
      <c r="E15" s="40" t="inlineStr">
        <is>
          <t>2x4=8</t>
        </is>
      </c>
      <c r="F15" s="7" t="inlineStr">
        <is>
          <t>Legionella awareness briefing before opening any water system. Site Legionella Responsible Person notified in advance. System flushed and sampled per site water hygiene procedure before return to service.</t>
        </is>
      </c>
      <c r="G15" s="40" t="n">
        <v>1</v>
      </c>
      <c r="H15" s="40" t="n">
        <v>4</v>
      </c>
      <c r="I15" s="40" t="inlineStr">
        <is>
          <t>1x4=4</t>
        </is>
      </c>
      <c r="J15" s="40" t="inlineStr">
        <is>
          <t>LOW</t>
        </is>
      </c>
    </row>
    <row r="16">
      <c r="A16" s="7" t="inlineStr">
        <is>
          <t>Working inside cold stores / freezers / low-temp environments</t>
        </is>
      </c>
      <c r="B16" s="7" t="inlineStr">
        <is>
          <t>Cold stress, reduced dexterity, slips on ice</t>
        </is>
      </c>
      <c r="C16" s="40" t="n">
        <v>2</v>
      </c>
      <c r="D16" s="40" t="n">
        <v>4</v>
      </c>
      <c r="E16" s="40" t="inlineStr">
        <is>
          <t>2x4=8</t>
        </is>
      </c>
      <c r="F16" s="7" t="inlineStr">
        <is>
          <t>Maximum continuous exposure time set per site cold-work policy. Warm-up breaks scheduled. Appropriate cold-weather PPE issued. Buddy system for extended cold work.</t>
        </is>
      </c>
      <c r="G16" s="40" t="n">
        <v>1</v>
      </c>
      <c r="H16" s="40" t="n">
        <v>2</v>
      </c>
      <c r="I16" s="40" t="inlineStr">
        <is>
          <t>1x2=2</t>
        </is>
      </c>
      <c r="J16" s="40" t="inlineStr">
        <is>
          <t>LOW</t>
        </is>
      </c>
    </row>
    <row r="17">
      <c r="A17" s="2" t="inlineStr">
        <is>
          <t>Lifting and relocating machinery/plant</t>
        </is>
      </c>
      <c r="B17" s="2" t="inlineStr">
        <is>
          <t>Uncontrolled load movement, crush injury, equipment failure during lift</t>
        </is>
      </c>
      <c r="C17" s="39" t="n">
        <v>4</v>
      </c>
      <c r="D17" s="39" t="n">
        <v>6</v>
      </c>
      <c r="E17" s="39" t="inlineStr">
        <is>
          <t>4x6=24</t>
        </is>
      </c>
      <c r="F17" s="2" t="inlineStr">
        <is>
          <t>Lift Plan produced and reviewed before any lift. Only LOLER-inspected lifting equipment used, in date. Competent slinger/signaller assigned. Exclusion zone maintained under load at all times.</t>
        </is>
      </c>
      <c r="G17" s="39" t="n">
        <v>2</v>
      </c>
      <c r="H17" s="39" t="n">
        <v>6</v>
      </c>
      <c r="I17" s="39" t="inlineStr">
        <is>
          <t>2x6=12</t>
        </is>
      </c>
      <c r="J17" s="39" t="inlineStr">
        <is>
          <t>MEDIUM</t>
        </is>
      </c>
    </row>
    <row r="18">
      <c r="A18" s="7" t="inlineStr">
        <is>
          <t>Handover of installed/relocated machinery to site</t>
        </is>
      </c>
      <c r="B18" s="7" t="inlineStr">
        <is>
          <t>Equipment not compliant with PUWER before being returned to production use</t>
        </is>
      </c>
      <c r="C18" s="40" t="n">
        <v>2</v>
      </c>
      <c r="D18" s="40" t="n">
        <v>4</v>
      </c>
      <c r="E18" s="40" t="inlineStr">
        <is>
          <t>2x4=8</t>
        </is>
      </c>
      <c r="F18" s="7" t="inlineStr">
        <is>
          <t>PUWER compliance check completed before handover. Guarding verified in place and effective. Isolation points clearly identified and labelled. Sign-off recorded before machine released to site.</t>
        </is>
      </c>
      <c r="G18" s="40" t="n">
        <v>1</v>
      </c>
      <c r="H18" s="40" t="n">
        <v>2</v>
      </c>
      <c r="I18" s="40" t="inlineStr">
        <is>
          <t>1x2=2</t>
        </is>
      </c>
      <c r="J18" s="40" t="inlineStr">
        <is>
          <t>LOW</t>
        </is>
      </c>
    </row>
    <row r="19">
      <c r="A19" s="2" t="inlineStr">
        <is>
          <t>Extended use of angle grinders, drills, impact tools</t>
        </is>
      </c>
      <c r="B19" s="2" t="inlineStr">
        <is>
          <t>Hand-Arm Vibration Syndrome (HAVS) from prolonged vibration exposure</t>
        </is>
      </c>
      <c r="C19" s="39" t="n">
        <v>4</v>
      </c>
      <c r="D19" s="39" t="n">
        <v>4</v>
      </c>
      <c r="E19" s="39" t="inlineStr">
        <is>
          <t>4x4=16</t>
        </is>
      </c>
      <c r="F19" s="2" t="inlineStr">
        <is>
          <t>Daily trigger-time logged per operative against tool vibration magnitude data. Task rotation used to limit individual exposure. Health surveillance referral for operatives exceeding exposure action value.</t>
        </is>
      </c>
      <c r="G19" s="39" t="n">
        <v>2</v>
      </c>
      <c r="H19" s="39" t="n">
        <v>4</v>
      </c>
      <c r="I19" s="39" t="inlineStr">
        <is>
          <t>2x4=8</t>
        </is>
      </c>
      <c r="J19" s="39" t="inlineStr">
        <is>
          <t>MEDIUM</t>
        </is>
      </c>
    </row>
    <row r="20">
      <c r="A20" s="7" t="inlineStr">
        <is>
          <t>Decommissioning and removal of plant/machinery</t>
        </is>
      </c>
      <c r="B20" s="7" t="inlineStr">
        <is>
          <t>Uncontrolled waste stream — oils, refrigerants, chemical residue</t>
        </is>
      </c>
      <c r="C20" s="40" t="n">
        <v>2</v>
      </c>
      <c r="D20" s="40" t="n">
        <v>4</v>
      </c>
      <c r="E20" s="40" t="inlineStr">
        <is>
          <t>2x4=8</t>
        </is>
      </c>
      <c r="F20" s="7" t="inlineStr">
        <is>
          <t>Waste segregation and disposal RA completed before work starts. Oil/refrigerant containment equipment on site. Spill kit available at point of work. Waste consignment notes retained.</t>
        </is>
      </c>
      <c r="G20" s="40" t="n">
        <v>1</v>
      </c>
      <c r="H20" s="40" t="n">
        <v>2</v>
      </c>
      <c r="I20" s="40" t="inlineStr">
        <is>
          <t>1x2=2</t>
        </is>
      </c>
      <c r="J20" s="40" t="inlineStr">
        <is>
          <t>LOW</t>
        </is>
      </c>
    </row>
    <row r="21">
      <c r="A21" s="2" t="inlineStr">
        <is>
          <t>Drilling, fixing, or disturbing building fabric (ceilings, walls, roof)</t>
        </is>
      </c>
      <c r="B21" s="2" t="inlineStr">
        <is>
          <t>Asbestos exposure in older building fabric, ceiling tiles, gaskets, lagging</t>
        </is>
      </c>
      <c r="C21" s="39" t="n">
        <v>2</v>
      </c>
      <c r="D21" s="39" t="n">
        <v>6</v>
      </c>
      <c r="E21" s="39" t="inlineStr">
        <is>
          <t>2x6=12</t>
        </is>
      </c>
      <c r="F21" s="2" t="inlineStr">
        <is>
          <t>Site Asbestos Management Survey checked before any work disturbing fabric. If asbestos-containing material suspected, work stops immediately and site Duty Holder informed.</t>
        </is>
      </c>
      <c r="G21" s="39" t="n">
        <v>1</v>
      </c>
      <c r="H21" s="39" t="n">
        <v>6</v>
      </c>
      <c r="I21" s="39" t="inlineStr">
        <is>
          <t>1x6=6</t>
        </is>
      </c>
      <c r="J21" s="39" t="inlineStr">
        <is>
          <t>MEDIUM</t>
        </is>
      </c>
    </row>
    <row r="22">
      <c r="A22" s="7" t="inlineStr">
        <is>
          <t>Attending site alone for callout/reactive work</t>
        </is>
      </c>
      <c r="B22" s="7" t="inlineStr">
        <is>
          <t>Delayed emergency response if lone worker is injured or incapacitated</t>
        </is>
      </c>
      <c r="C22" s="40" t="n">
        <v>2</v>
      </c>
      <c r="D22" s="40" t="n">
        <v>4</v>
      </c>
      <c r="E22" s="40" t="inlineStr">
        <is>
          <t>2x4=8</t>
        </is>
      </c>
      <c r="F22" s="7" t="inlineStr">
        <is>
          <t>Lone worker check-in procedure followed at defined intervals. Emergency contact held by office. No lone working permitted for confined space entry or live electrical work under any circumstances.</t>
        </is>
      </c>
      <c r="G22" s="40" t="n">
        <v>1</v>
      </c>
      <c r="H22" s="40" t="n">
        <v>2</v>
      </c>
      <c r="I22" s="40" t="inlineStr">
        <is>
          <t>1x2=2</t>
        </is>
      </c>
      <c r="J22" s="40" t="inlineStr">
        <is>
          <t>LOW</t>
        </is>
      </c>
    </row>
    <row r="23">
      <c r="A23" s="7" t="inlineStr">
        <is>
          <t>Extended or night-time callout attendance</t>
        </is>
      </c>
      <c r="B23" s="7" t="inlineStr">
        <is>
          <t>Fatigue-related error, driving risk after night shift</t>
        </is>
      </c>
      <c r="C23" s="40" t="n">
        <v>2</v>
      </c>
      <c r="D23" s="40" t="n">
        <v>4</v>
      </c>
      <c r="E23" s="40" t="inlineStr">
        <is>
          <t>2x4=8</t>
        </is>
      </c>
      <c r="F23" s="7" t="inlineStr">
        <is>
          <t>Fatigue risk considered before accepting extended/night callouts. Rest break scheduled. Driving risk assessed before travel home after a night shift.</t>
        </is>
      </c>
      <c r="G23" s="40" t="n">
        <v>1</v>
      </c>
      <c r="H23" s="40" t="n">
        <v>2</v>
      </c>
      <c r="I23" s="40" t="inlineStr">
        <is>
          <t>1x2=2</t>
        </is>
      </c>
      <c r="J23" s="40" t="inlineStr">
        <is>
          <t>LOW</t>
        </is>
      </c>
    </row>
    <row r="24">
      <c r="A24" s="2" t="inlineStr">
        <is>
          <t>FLT and delivery vehicle movement in yard/production areas</t>
        </is>
      </c>
      <c r="B24" s="2" t="inlineStr">
        <is>
          <t>Collision between vehicles, plant, and pedestrians</t>
        </is>
      </c>
      <c r="C24" s="39" t="n">
        <v>4</v>
      </c>
      <c r="D24" s="39" t="n">
        <v>6</v>
      </c>
      <c r="E24" s="39" t="inlineStr">
        <is>
          <t>4x6=24</t>
        </is>
      </c>
      <c r="F24" s="2" t="inlineStr">
        <is>
          <t>Site traffic management plan briefed at induction. Pedestrian and vehicle routes segregated where possible. Banksman used for all delivery vehicle manoeuvres near work areas.</t>
        </is>
      </c>
      <c r="G24" s="39" t="n">
        <v>2</v>
      </c>
      <c r="H24" s="39" t="n">
        <v>6</v>
      </c>
      <c r="I24" s="39" t="inlineStr">
        <is>
          <t>2x6=12</t>
        </is>
      </c>
      <c r="J24" s="39" t="inlineStr">
        <is>
          <t>MEDIUM</t>
        </is>
      </c>
    </row>
    <row r="25">
      <c r="A25" s="2" t="inlineStr">
        <is>
          <t>Isolation and venting of pressure vessels/boilers (tank/kettletank work)</t>
        </is>
      </c>
      <c r="B25" s="2" t="inlineStr">
        <is>
          <t>Uncontrolled release of pressure, scalding, vessel failure</t>
        </is>
      </c>
      <c r="C25" s="39" t="n">
        <v>2</v>
      </c>
      <c r="D25" s="39" t="n">
        <v>6</v>
      </c>
      <c r="E25" s="39" t="inlineStr">
        <is>
          <t>2x6=12</t>
        </is>
      </c>
      <c r="F25" s="2" t="inlineStr">
        <is>
          <t>Vessel fully isolated and vented by a competent person before work starts. Isolation verified and permit issued before entry or removal work begins.</t>
        </is>
      </c>
      <c r="G25" s="39" t="n">
        <v>1</v>
      </c>
      <c r="H25" s="39" t="n">
        <v>6</v>
      </c>
      <c r="I25" s="39" t="inlineStr">
        <is>
          <t>1x6=6</t>
        </is>
      </c>
      <c r="J25" s="39" t="inlineStr">
        <is>
          <t>MEDIUM</t>
        </is>
      </c>
    </row>
    <row r="26">
      <c r="A26" s="2" t="inlineStr">
        <is>
          <t>Live working on control panels / automation systems</t>
        </is>
      </c>
      <c r="B26" s="2" t="inlineStr">
        <is>
          <t>Arc flash, electric shock from live panel components</t>
        </is>
      </c>
      <c r="C26" s="39" t="n">
        <v>4</v>
      </c>
      <c r="D26" s="39" t="n">
        <v>6</v>
      </c>
      <c r="E26" s="39" t="inlineStr">
        <is>
          <t>4x6=24</t>
        </is>
      </c>
      <c r="F26" s="2" t="inlineStr">
        <is>
          <t>Arc flash risk assessment completed before any live panel work. PPE rated to assessed incident energy level. Panel isolated and proven dead wherever possible; live working only under permit with second competent person present.</t>
        </is>
      </c>
      <c r="G26" s="39" t="n">
        <v>2</v>
      </c>
      <c r="H26" s="39" t="n">
        <v>6</v>
      </c>
      <c r="I26" s="39" t="inlineStr">
        <is>
          <t>2x6=12</t>
        </is>
      </c>
      <c r="J26" s="39" t="inlineStr">
        <is>
          <t>MEDIUM</t>
        </is>
      </c>
    </row>
    <row r="27">
      <c r="A27" s="2" t="inlineStr">
        <is>
          <t>Commissioning SCADA, PLC, or automation changes on a live line</t>
        </is>
      </c>
      <c r="B27" s="2" t="inlineStr">
        <is>
          <t>Uncontrolled machine movement from software/control change</t>
        </is>
      </c>
      <c r="C27" s="39" t="n">
        <v>2</v>
      </c>
      <c r="D27" s="39" t="n">
        <v>6</v>
      </c>
      <c r="E27" s="39" t="inlineStr">
        <is>
          <t>2x6=12</t>
        </is>
      </c>
      <c r="F27" s="2" t="inlineStr">
        <is>
          <t>Change control procedure followed for all PLC/software changes. Line locked out/guarded during commissioning. Function test carried out in a controlled, guarded state before line released to production.</t>
        </is>
      </c>
      <c r="G27" s="39" t="n">
        <v>1</v>
      </c>
      <c r="H27" s="39" t="n">
        <v>4</v>
      </c>
      <c r="I27" s="39" t="inlineStr">
        <is>
          <t>1x4=4</t>
        </is>
      </c>
      <c r="J27" s="39" t="inlineStr">
        <is>
          <t>MEDIUM</t>
        </is>
      </c>
    </row>
    <row r="28">
      <c r="A28" s="2" t="inlineStr">
        <is>
          <t>Installing or maintaining conveyor systems</t>
        </is>
      </c>
      <c r="B28" s="2" t="inlineStr">
        <is>
          <t>Entanglement or crushing at nip points, belt/roller entrapment</t>
        </is>
      </c>
      <c r="C28" s="39" t="n">
        <v>4</v>
      </c>
      <c r="D28" s="39" t="n">
        <v>6</v>
      </c>
      <c r="E28" s="39" t="inlineStr">
        <is>
          <t>4x6=24</t>
        </is>
      </c>
      <c r="F28" s="2" t="inlineStr">
        <is>
          <t>Conveyor fully isolated and locked off before guard removal. Nip-point guarding verified in place and effective before re-energising. Belt tensioning carried out per manufacturer procedure with guards fitted.</t>
        </is>
      </c>
      <c r="G28" s="39" t="n">
        <v>2</v>
      </c>
      <c r="H28" s="39" t="n">
        <v>6</v>
      </c>
      <c r="I28" s="39" t="inlineStr">
        <is>
          <t>2x6=12</t>
        </is>
      </c>
      <c r="J28" s="39" t="inlineStr">
        <is>
          <t>MEDIUM</t>
        </is>
      </c>
    </row>
    <row r="29">
      <c r="A29" s="2" t="inlineStr">
        <is>
          <t>Working under CDM 2015 on construction-related projects</t>
        </is>
      </c>
      <c r="B29" s="2" t="inlineStr">
        <is>
          <t>Uncoordinated site activity, unclear duty-holder responsibilities, undefined construction phase risks</t>
        </is>
      </c>
      <c r="C29" s="39" t="n">
        <v>4</v>
      </c>
      <c r="D29" s="39" t="n">
        <v>4</v>
      </c>
      <c r="E29" s="39" t="inlineStr">
        <is>
          <t>4x4=16</t>
        </is>
      </c>
      <c r="F29" s="2" t="inlineStr">
        <is>
          <t>CDM roles (Client, Principal Designer, Principal Contractor) confirmed before work starts. Construction Phase Plan in place. F10 notification submitted where project meets notifiable thresholds.</t>
        </is>
      </c>
      <c r="G29" s="39" t="n">
        <v>2</v>
      </c>
      <c r="H29" s="39" t="n">
        <v>4</v>
      </c>
      <c r="I29" s="39" t="inlineStr">
        <is>
          <t>2x4=8</t>
        </is>
      </c>
      <c r="J29" s="39" t="inlineStr">
        <is>
          <t>MEDIUM</t>
        </is>
      </c>
    </row>
    <row r="30">
      <c r="A30" s="2" t="inlineStr">
        <is>
          <t>Working on petrochemical sites in hazardous area classified zones</t>
        </is>
      </c>
      <c r="B30" s="2" t="inlineStr">
        <is>
          <t>Flammable atmosphere ignition, toxic gas exposure, static discharge</t>
        </is>
      </c>
      <c r="C30" s="39" t="n">
        <v>4</v>
      </c>
      <c r="D30" s="39" t="n">
        <v>6</v>
      </c>
      <c r="E30" s="39" t="inlineStr">
        <is>
          <t>4x6=24</t>
        </is>
      </c>
      <c r="F30" s="2" t="inlineStr">
        <is>
          <t>Hazardous area classification confirmed before any work. Only ATEX-rated equipment used in classified zones. Gas testing before hot work. Static bonding/earthing used for flammable liquid transfer.</t>
        </is>
      </c>
      <c r="G30" s="39" t="n">
        <v>2</v>
      </c>
      <c r="H30" s="39" t="n">
        <v>6</v>
      </c>
      <c r="I30" s="39" t="inlineStr">
        <is>
          <t>2x6=12</t>
        </is>
      </c>
      <c r="J30" s="39" t="inlineStr">
        <is>
          <t>MEDIUM</t>
        </is>
      </c>
    </row>
    <row r="31">
      <c r="A31" s="2" t="inlineStr">
        <is>
          <t>Working within pharmaceutical cleanroom/GMP-controlled environments</t>
        </is>
      </c>
      <c r="B31" s="2" t="inlineStr">
        <is>
          <t>Contamination of controlled environment, breach of validated process/change control</t>
        </is>
      </c>
      <c r="C31" s="39" t="n">
        <v>2</v>
      </c>
      <c r="D31" s="39" t="n">
        <v>6</v>
      </c>
      <c r="E31" s="39" t="inlineStr">
        <is>
          <t>2x6=12</t>
        </is>
      </c>
      <c r="F31" s="2" t="inlineStr">
        <is>
          <t>Cleanroom entry/gowning procedure followed. Change control approval obtained before any equipment modification. Validated equipment status confirmed before and after work.</t>
        </is>
      </c>
      <c r="G31" s="39" t="n">
        <v>1</v>
      </c>
      <c r="H31" s="39" t="n">
        <v>6</v>
      </c>
      <c r="I31" s="39" t="inlineStr">
        <is>
          <t>1x6=6</t>
        </is>
      </c>
      <c r="J31" s="39" t="inlineStr">
        <is>
          <t>MEDIUM</t>
        </is>
      </c>
    </row>
  </sheetData>
  <autoFilter ref="A4:J31"/>
  <mergeCells count="2">
    <mergeCell ref="A1:J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30" customWidth="1" min="1" max="1"/>
    <col width="46" customWidth="1" min="2" max="2"/>
    <col width="30" customWidth="1" min="3" max="3"/>
    <col width="46" customWidth="1" min="4" max="4"/>
    <col width="32" customWidth="1" min="5" max="5"/>
  </cols>
  <sheetData>
    <row r="1" ht="26" customHeight="1">
      <c r="A1" s="17" t="inlineStr">
        <is>
          <t>Pet Food Manufacturing — Production Process Hazards</t>
        </is>
      </c>
    </row>
    <row r="2" ht="18" customHeight="1">
      <c r="A2" s="18" t="inlineStr">
        <is>
          <t>Butternut Box is a live FESS client, but no RAMS currently addresses actual pet food PRODUCTION process hazards — only M&amp;E contractor work around the edges. This covers the process itself.</t>
        </is>
      </c>
    </row>
    <row r="4" ht="32" customHeight="1">
      <c r="A4" s="1" t="inlineStr">
        <is>
          <t>Process Stage</t>
        </is>
      </c>
      <c r="B4" s="1" t="inlineStr">
        <is>
          <t>Hazard</t>
        </is>
      </c>
      <c r="C4" s="1" t="inlineStr">
        <is>
          <t>Who's Exposed</t>
        </is>
      </c>
      <c r="D4" s="1" t="inlineStr">
        <is>
          <t>Control Measures</t>
        </is>
      </c>
      <c r="E4" s="1" t="inlineStr">
        <is>
          <t>Standard / Reference</t>
        </is>
      </c>
    </row>
    <row r="5">
      <c r="A5" s="7" t="inlineStr">
        <is>
          <t>Raw material intake (meat, offal, fish, grain)</t>
        </is>
      </c>
      <c r="B5" s="7" t="inlineStr">
        <is>
          <t>Biological hazard from raw animal by-products; manual handling of heavy sacks/totes; slip hazard from fat/blood residue</t>
        </is>
      </c>
      <c r="C5" s="7" t="inlineStr">
        <is>
          <t>Goods-in operatives, engineers working near intake area</t>
        </is>
      </c>
      <c r="D5" s="7" t="inlineStr">
        <is>
          <t>PPE incl. cut-resistant gloves, non-slip footwear; hand hygiene stations at intake; raw material segregated from finished product area</t>
        </is>
      </c>
      <c r="E5" s="7" t="inlineStr">
        <is>
          <t>ABP Regulations (EC) 1069/2009 — Animal By-Products</t>
        </is>
      </c>
    </row>
    <row r="6">
      <c r="A6" s="5" t="inlineStr">
        <is>
          <t>Rendering / cooking process</t>
        </is>
      </c>
      <c r="B6" s="5" t="inlineStr">
        <is>
          <t>Steam/heat burns, hot fat exposure, strong odour/fume exposure, pressure vessel risk</t>
        </is>
      </c>
      <c r="C6" s="5" t="inlineStr">
        <is>
          <t>Process operatives, maintenance engineers</t>
        </is>
      </c>
      <c r="D6" s="5" t="inlineStr">
        <is>
          <t>PPE for heat exposure, LEV for odour/fume control, pressure vessel written scheme of examination, permit for any vessel entry/maintenance</t>
        </is>
      </c>
      <c r="E6" s="5" t="inlineStr">
        <is>
          <t>Pressure Systems Safety Regulations 2000</t>
        </is>
      </c>
    </row>
    <row r="7">
      <c r="A7" s="7" t="inlineStr">
        <is>
          <t>Mixing / blending raw ingredients</t>
        </is>
      </c>
      <c r="B7" s="7" t="inlineStr">
        <is>
          <t>Entanglement in mixer/blender moving parts, manual handling of ingredient additions, dust exposure from dry ingredients</t>
        </is>
      </c>
      <c r="C7" s="7" t="inlineStr">
        <is>
          <t>Production operatives, maintenance engineers during cleaning/repair</t>
        </is>
      </c>
      <c r="D7" s="7" t="inlineStr">
        <is>
          <t>Guarding interlocks verified before any maintenance access; lock-out before entering mixer; RPE for dry ingredient dust; safe manual handling for ingredient bags</t>
        </is>
      </c>
      <c r="E7" s="7" t="inlineStr">
        <is>
          <t>PUWER 1998</t>
        </is>
      </c>
    </row>
    <row r="8">
      <c r="A8" s="5" t="inlineStr">
        <is>
          <t>Extrusion / cooking (kibble production)</t>
        </is>
      </c>
      <c r="B8" s="5" t="inlineStr">
        <is>
          <t>High-pressure/high-temperature process, burns from extruder barrel, noise from extruder operation, entanglement at feed point</t>
        </is>
      </c>
      <c r="C8" s="5" t="inlineStr">
        <is>
          <t>Process operatives, engineers during changeover/maintenance</t>
        </is>
      </c>
      <c r="D8" s="5" t="inlineStr">
        <is>
          <t>Extruder isolation and cool-down procedure before maintenance access; noise assessment and hearing protection; feed point guarding verified</t>
        </is>
      </c>
      <c r="E8" s="5" t="inlineStr">
        <is>
          <t>PUWER 1998 / Control of Noise at Work Regulations 2005</t>
        </is>
      </c>
    </row>
    <row r="9">
      <c r="A9" s="7" t="inlineStr">
        <is>
          <t>Drying</t>
        </is>
      </c>
      <c r="B9" s="7" t="inlineStr">
        <is>
          <t>Heat exposure, fire risk from dust accumulation in drying equipment, confined space risk during internal cleaning</t>
        </is>
      </c>
      <c r="C9" s="7" t="inlineStr">
        <is>
          <t>Process operatives, maintenance/cleaning engineers</t>
        </is>
      </c>
      <c r="D9" s="7" t="inlineStr">
        <is>
          <t>Fire risk assessment for dryer (dust accumulation), confined space protocol for internal access, heat-resistant PPE</t>
        </is>
      </c>
      <c r="E9" s="7" t="inlineStr">
        <is>
          <t>DSEAR / Regulatory Reform (Fire Safety) Order 2005</t>
        </is>
      </c>
    </row>
    <row r="10">
      <c r="A10" s="5" t="inlineStr">
        <is>
          <t>Coating / palatant (fat/flavour) application</t>
        </is>
      </c>
      <c r="B10" s="5" t="inlineStr">
        <is>
          <t>Chemical exposure to palatant sprays, hot fat/oil handling, slip hazard from oil residue</t>
        </is>
      </c>
      <c r="C10" s="5" t="inlineStr">
        <is>
          <t>Process operatives, engineers maintaining spray systems</t>
        </is>
      </c>
      <c r="D10" s="5" t="inlineStr">
        <is>
          <t>COSHH assessment for palatant chemicals, PPE incl. eye protection near spray systems, degreasing/anti-slip flooring maintenance</t>
        </is>
      </c>
      <c r="E10" s="5" t="inlineStr">
        <is>
          <t>COSHH Regulations 2002</t>
        </is>
      </c>
    </row>
    <row r="11">
      <c r="A11" s="7" t="inlineStr">
        <is>
          <t>Cooling / conveying to packaging</t>
        </is>
      </c>
      <c r="B11" s="7" t="inlineStr">
        <is>
          <t>Nip points on cooling conveyors, dust exposure from cooled product handling</t>
        </is>
      </c>
      <c r="C11" s="7" t="inlineStr">
        <is>
          <t>Production operatives, maintenance engineers</t>
        </is>
      </c>
      <c r="D11" s="7" t="inlineStr">
        <is>
          <t>Conveyor guarding per nip-point RA (see New RA Rows sheet), RPE where dust levels warrant</t>
        </is>
      </c>
      <c r="E11" s="7" t="inlineStr">
        <is>
          <t>PUWER 1998</t>
        </is>
      </c>
    </row>
    <row r="12">
      <c r="A12" s="5" t="inlineStr">
        <is>
          <t>Wet food retort / canning (if applicable)</t>
        </is>
      </c>
      <c r="B12" s="5" t="inlineStr">
        <is>
          <t>High-pressure steam retort risk, burns, can-seam integrity failure, manual handling of heavy trays/cages</t>
        </is>
      </c>
      <c r="C12" s="5" t="inlineStr">
        <is>
          <t>Retort operatives, engineers maintaining retort systems</t>
        </is>
      </c>
      <c r="D12" s="5" t="inlineStr">
        <is>
          <t>Retort permit-to-work for any maintenance access, pressure vessel written scheme, PPE for steam/heat, mechanical handling aids for trays</t>
        </is>
      </c>
      <c r="E12" s="5" t="inlineStr">
        <is>
          <t>Pressure Systems Safety Regulations 2000</t>
        </is>
      </c>
    </row>
    <row r="13">
      <c r="A13" s="7" t="inlineStr">
        <is>
          <t>Bagging / packaging line</t>
        </is>
      </c>
      <c r="B13" s="7" t="inlineStr">
        <is>
          <t>Entanglement at bag-forming/sealing machinery, manual handling of filled bags/totes, noise from packaging line</t>
        </is>
      </c>
      <c r="C13" s="7" t="inlineStr">
        <is>
          <t>Packaging operatives, engineers during changeover/maintenance</t>
        </is>
      </c>
      <c r="D13" s="7" t="inlineStr">
        <is>
          <t>Machine guarding and interlocks verified, lock-out before maintenance access, mechanical lifting aids for heavy bag handling</t>
        </is>
      </c>
      <c r="E13" s="7" t="inlineStr">
        <is>
          <t>PUWER 1998 / Manual Handling Operations Regulations 1992</t>
        </is>
      </c>
    </row>
    <row r="14">
      <c r="A14" s="5" t="inlineStr">
        <is>
          <t>Metal detection / X-ray final inspection</t>
        </is>
      </c>
      <c r="B14" s="5" t="inlineStr">
        <is>
          <t>Radiation exposure risk (X-ray systems), false-negative product safety risk if maintained incorrectly</t>
        </is>
      </c>
      <c r="C14" s="5" t="inlineStr">
        <is>
          <t>QA operatives, engineers commissioning/maintaining detection equipment</t>
        </is>
      </c>
      <c r="D14" s="5" t="inlineStr">
        <is>
          <t>Radiation safety RA for X-ray systems, calibration/commissioning procedure, competent person sign-off before line restart</t>
        </is>
      </c>
      <c r="E14" s="5" t="inlineStr">
        <is>
          <t>Ionising Radiations Regulations 2017 (if X-ray used)</t>
        </is>
      </c>
    </row>
    <row r="15">
      <c r="A15" s="7" t="inlineStr">
        <is>
          <t>Warehouse / cold chain storage</t>
        </is>
      </c>
      <c r="B15" s="7" t="inlineStr">
        <is>
          <t>FLT movement, racking collapse risk, cold store temperature exposure for pickers</t>
        </is>
      </c>
      <c r="C15" s="7" t="inlineStr">
        <is>
          <t>Warehouse operatives, engineers maintaining racking/refrigeration</t>
        </is>
      </c>
      <c r="D15" s="7" t="inlineStr">
        <is>
          <t>Racking inspection regime, FLT segregation from pedestrians, cold stress controls per cold work RA (see New RA Rows sheet)</t>
        </is>
      </c>
      <c r="E15" s="7" t="inlineStr">
        <is>
          <t>Storage Equipment Manufacturers Association (SEMA) racking guidance</t>
        </is>
      </c>
    </row>
  </sheetData>
  <autoFilter ref="A4:E15"/>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46" customWidth="1" min="3" max="3"/>
    <col width="50" customWidth="1" min="4" max="4"/>
  </cols>
  <sheetData>
    <row r="1" ht="26" customHeight="1">
      <c r="A1" s="17" t="inlineStr">
        <is>
          <t>Food &amp; Drink Production Line Hazards — General Library</t>
        </is>
      </c>
    </row>
    <row r="2" ht="18" customHeight="1">
      <c r="A2" s="18" t="inlineStr">
        <is>
          <t>Broader than FESS's contractor scope — actual production-line process hazards across meat/poultry, bakery, dairy, and beverage. Built so the hazard library serves MySafeOps clients beyond FESS.</t>
        </is>
      </c>
    </row>
    <row r="4" ht="32" customHeight="1">
      <c r="A4" s="1" t="inlineStr">
        <is>
          <t>Sector</t>
        </is>
      </c>
      <c r="B4" s="1" t="inlineStr">
        <is>
          <t>Process / Activity</t>
        </is>
      </c>
      <c r="C4" s="1" t="inlineStr">
        <is>
          <t>Hazard</t>
        </is>
      </c>
      <c r="D4" s="1" t="inlineStr">
        <is>
          <t>Control Measures</t>
        </is>
      </c>
    </row>
    <row r="5">
      <c r="A5" s="6" t="inlineStr">
        <is>
          <t>Meat &amp; Poultry Processing</t>
        </is>
      </c>
      <c r="B5" s="6" t="inlineStr">
        <is>
          <t>Slaughter / evisceration line</t>
        </is>
      </c>
      <c r="C5" s="6" t="inlineStr">
        <is>
          <t>Sharp knife/blade injury, biological hazard (blood/offal), repetitive strain from high-speed line work</t>
        </is>
      </c>
      <c r="D5" s="6" t="inlineStr">
        <is>
          <t>Chainmail gloves/aprons, blade safety training, knife sharpening station controls, job rotation to limit repetitive strain, blood-borne pathogen awareness</t>
        </is>
      </c>
    </row>
    <row r="6">
      <c r="A6" s="5" t="inlineStr">
        <is>
          <t>Meat &amp; Poultry Processing</t>
        </is>
      </c>
      <c r="B6" s="5" t="inlineStr">
        <is>
          <t>Deboning / cutting</t>
        </is>
      </c>
      <c r="C6" s="5" t="inlineStr">
        <is>
          <t>Repetitive knife injuries, cold environment exposure (chilled cutting rooms), manual handling of carcasses</t>
        </is>
      </c>
      <c r="D6" s="5" t="inlineStr">
        <is>
          <t>Cut-resistant PPE, knife control/tracking system, cold-room exposure time limits, mechanical lifting aids for carcass handling</t>
        </is>
      </c>
    </row>
    <row r="7">
      <c r="A7" s="6" t="inlineStr">
        <is>
          <t>Meat &amp; Poultry Processing</t>
        </is>
      </c>
      <c r="B7" s="6" t="inlineStr">
        <is>
          <t>Scalding / plucking (poultry)</t>
        </is>
      </c>
      <c r="C7" s="6" t="inlineStr">
        <is>
          <t>Hot water/steam burns, entanglement in plucking machinery</t>
        </is>
      </c>
      <c r="D7" s="6" t="inlineStr">
        <is>
          <t>Temperature-controlled scald tank with guarding, machine interlocks verified, PPE for heat exposure</t>
        </is>
      </c>
    </row>
    <row r="8">
      <c r="A8" s="5" t="inlineStr">
        <is>
          <t>Bakery</t>
        </is>
      </c>
      <c r="B8" s="5" t="inlineStr">
        <is>
          <t>Dough mixing</t>
        </is>
      </c>
      <c r="C8" s="5" t="inlineStr">
        <is>
          <t>Entanglement in mixer (a leading cause of severe injury in bakeries), manual handling of flour sacks, flour dust exposure</t>
        </is>
      </c>
      <c r="D8" s="5" t="inlineStr">
        <is>
          <t>Mixer guarding interlocks tested regularly, lock-out before any internal access, RPE for flour dust, mechanical aids for sack handling</t>
        </is>
      </c>
    </row>
    <row r="9">
      <c r="A9" s="6" t="inlineStr">
        <is>
          <t>Bakery</t>
        </is>
      </c>
      <c r="B9" s="6" t="inlineStr">
        <is>
          <t>Oven / proving</t>
        </is>
      </c>
      <c r="C9" s="6" t="inlineStr">
        <is>
          <t>Burns from oven surfaces and hot trays, fire risk, heat stress in prover/oven areas</t>
        </is>
      </c>
      <c r="D9" s="6" t="inlineStr">
        <is>
          <t>Heat-resistant PPE, fire suppression/detection maintained, heat stress management (hydration, rotation)</t>
        </is>
      </c>
    </row>
    <row r="10">
      <c r="A10" s="5" t="inlineStr">
        <is>
          <t>Bakery</t>
        </is>
      </c>
      <c r="B10" s="5" t="inlineStr">
        <is>
          <t>Combustible dust (flour) in production area</t>
        </is>
      </c>
      <c r="C10" s="5" t="inlineStr">
        <is>
          <t>Dust explosion risk (ATEX) from airborne flour dust</t>
        </is>
      </c>
      <c r="D10" s="5" t="inlineStr">
        <is>
          <t>Housekeeping regime to limit dust accumulation, ATEX zone classification, ignition source control, dust extraction systems maintained</t>
        </is>
      </c>
    </row>
    <row r="11">
      <c r="A11" s="6" t="inlineStr">
        <is>
          <t>Dairy</t>
        </is>
      </c>
      <c r="B11" s="6" t="inlineStr">
        <is>
          <t>Pasteurisation / heat treatment</t>
        </is>
      </c>
      <c r="C11" s="6" t="inlineStr">
        <is>
          <t>Scalding from hot milk/steam, pressure system risk, electrical hazard from control systems</t>
        </is>
      </c>
      <c r="D11" s="6" t="inlineStr">
        <is>
          <t>Pressure system written scheme, permit for maintenance access, PPE for heat/steam exposure, electrical isolation per EAWR</t>
        </is>
      </c>
    </row>
    <row r="12">
      <c r="A12" s="5" t="inlineStr">
        <is>
          <t>Dairy</t>
        </is>
      </c>
      <c r="B12" s="5" t="inlineStr">
        <is>
          <t>Clean-in-Place (CIP) chemical systems</t>
        </is>
      </c>
      <c r="C12" s="5" t="inlineStr">
        <is>
          <t>Chemical burns (caustic/acid CIP fluids), inhalation of chemical vapour, risk of chemical injection into product if system fails</t>
        </is>
      </c>
      <c r="D12" s="5" t="inlineStr">
        <is>
          <t>COSHH assessment for CIP chemicals, PPE incl. face shield/chemical-resistant gloves, interlocks preventing CIP fluid entering product lines, emergency eyewash/shower nearby</t>
        </is>
      </c>
    </row>
    <row r="13">
      <c r="A13" s="6" t="inlineStr">
        <is>
          <t>Dairy</t>
        </is>
      </c>
      <c r="B13" s="6" t="inlineStr">
        <is>
          <t>Cold store / chilled processing areas</t>
        </is>
      </c>
      <c r="C13" s="6" t="inlineStr">
        <is>
          <t>Cold stress, slip hazard on wet/icy floors</t>
        </is>
      </c>
      <c r="D13" s="6" t="inlineStr">
        <is>
          <t>Cold work exposure limits, anti-slip flooring and drainage maintenance, appropriate cold-weather PPE</t>
        </is>
      </c>
    </row>
    <row r="14">
      <c r="A14" s="5" t="inlineStr">
        <is>
          <t>Beverage</t>
        </is>
      </c>
      <c r="B14" s="5" t="inlineStr">
        <is>
          <t>Carbonation / CO2 systems</t>
        </is>
      </c>
      <c r="C14" s="5" t="inlineStr">
        <is>
          <t>CO2 asphyxiation risk in confined bottling/filling areas, pressure vessel risk</t>
        </is>
      </c>
      <c r="D14" s="5" t="inlineStr">
        <is>
          <t>CO2 gas detection in filling areas, ventilation, pressure system written scheme, confined space protocol for any tank entry</t>
        </is>
      </c>
    </row>
    <row r="15">
      <c r="A15" s="6" t="inlineStr">
        <is>
          <t>Beverage</t>
        </is>
      </c>
      <c r="B15" s="6" t="inlineStr">
        <is>
          <t>Glass bottling line</t>
        </is>
      </c>
      <c r="C15" s="6" t="inlineStr">
        <is>
          <t>Glass breakage and foreign body risk, high-speed line entanglement, noise exposure</t>
        </is>
      </c>
      <c r="D15" s="6" t="inlineStr">
        <is>
          <t>Glass &amp; hard plastic policy, breakage response procedure, machine guarding, hearing protection per noise assessment</t>
        </is>
      </c>
    </row>
    <row r="16">
      <c r="A16" s="5" t="inlineStr">
        <is>
          <t>Beverage</t>
        </is>
      </c>
      <c r="B16" s="5" t="inlineStr">
        <is>
          <t>Cask/keg handling</t>
        </is>
      </c>
      <c r="C16" s="5" t="inlineStr">
        <is>
          <t>Manual handling injury from heavy kegs, pressurised container risk</t>
        </is>
      </c>
      <c r="D16" s="5" t="inlineStr">
        <is>
          <t>Mechanical handling aids (keg trolleys/lifts), pressure-relief training, safe stacking procedure</t>
        </is>
      </c>
    </row>
    <row r="17">
      <c r="A17" s="6" t="inlineStr">
        <is>
          <t>General FMCG / Packaging</t>
        </is>
      </c>
      <c r="B17" s="6" t="inlineStr">
        <is>
          <t>High-speed packaging/labelling lines</t>
        </is>
      </c>
      <c r="C17" s="6" t="inlineStr">
        <is>
          <t>Entanglement, noise, repetitive strain from line-side tasks</t>
        </is>
      </c>
      <c r="D17" s="6" t="inlineStr">
        <is>
          <t>Guarding and interlocks, hearing protection, job rotation, machine safety training for changeover operatives</t>
        </is>
      </c>
    </row>
    <row r="18">
      <c r="A18" s="5" t="inlineStr">
        <is>
          <t>General FMCG / Warehousing</t>
        </is>
      </c>
      <c r="B18" s="5" t="inlineStr">
        <is>
          <t>FLT and pedestrian interaction in production/warehouse areas</t>
        </is>
      </c>
      <c r="C18" s="5" t="inlineStr">
        <is>
          <t>Collision, crush injury</t>
        </is>
      </c>
      <c r="D18" s="5" t="inlineStr">
        <is>
          <t>Segregated pedestrian routes, FLT proximity sensors/cameras where fitted, banksman for reversing near production areas</t>
        </is>
      </c>
    </row>
  </sheetData>
  <autoFilter ref="A4:D18"/>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32" customWidth="1" min="1" max="1"/>
    <col width="44" customWidth="1" min="2" max="2"/>
    <col width="28" customWidth="1" min="3" max="3"/>
    <col width="46" customWidth="1" min="4" max="4"/>
    <col width="32" customWidth="1" min="5" max="5"/>
  </cols>
  <sheetData>
    <row r="1" ht="26" customHeight="1">
      <c r="A1" s="17" t="inlineStr">
        <is>
          <t>Warehousing &amp; Logistics — Hazard Library</t>
        </is>
      </c>
    </row>
    <row r="2" ht="18" customHeight="1">
      <c r="A2" s="18" t="inlineStr">
        <is>
          <t>Distribution centres, 3PL, cold chain and general storage — a distinct MySafeOps client type from both food production and construction</t>
        </is>
      </c>
    </row>
    <row r="4" ht="32" customHeight="1">
      <c r="A4" s="1" t="inlineStr">
        <is>
          <t>Activity</t>
        </is>
      </c>
      <c r="B4" s="1" t="inlineStr">
        <is>
          <t>Hazard</t>
        </is>
      </c>
      <c r="C4" s="1" t="inlineStr">
        <is>
          <t>Who's Exposed</t>
        </is>
      </c>
      <c r="D4" s="1" t="inlineStr">
        <is>
          <t>Control Measures</t>
        </is>
      </c>
      <c r="E4" s="1" t="inlineStr">
        <is>
          <t>Standard / Reference</t>
        </is>
      </c>
    </row>
    <row r="5">
      <c r="A5" s="7" t="inlineStr">
        <is>
          <t>Racking installation, inspection &amp; repair</t>
        </is>
      </c>
      <c r="B5" s="7" t="inlineStr">
        <is>
          <t>Racking collapse from overload/impact damage, falls during high-level installation, manual handling of racking components</t>
        </is>
      </c>
      <c r="C5" s="7" t="inlineStr">
        <is>
          <t>Racking installers/maintainers, warehouse operatives beneath</t>
        </is>
      </c>
      <c r="D5" s="7" t="inlineStr">
        <is>
          <t>SEMA-approved racking inspection regime (basic user checks + expert inspection), damage reporting and red/amber/green tagging, exclusion zone during installation/repair</t>
        </is>
      </c>
      <c r="E5" s="7" t="inlineStr">
        <is>
          <t>SEMA (Storage Equipment Manufacturers Association) Code of Practice</t>
        </is>
      </c>
    </row>
    <row r="6">
      <c r="A6" s="5" t="inlineStr">
        <is>
          <t>FLT / reach truck / pallet truck operation</t>
        </is>
      </c>
      <c r="B6" s="5" t="inlineStr">
        <is>
          <t>Collision with pedestrians or racking, overturning on ramps/uneven surfaces, load fall from height</t>
        </is>
      </c>
      <c r="C6" s="5" t="inlineStr">
        <is>
          <t>FLT operators, pedestrians, order pickers</t>
        </is>
      </c>
      <c r="D6" s="5" t="inlineStr">
        <is>
          <t>Segregated pedestrian routes, FLT operator certification (RTITB or equivalent), speed limits, proximity warning systems, pre-use daily checks</t>
        </is>
      </c>
      <c r="E6" s="5" t="inlineStr">
        <is>
          <t>PUWER 1998 / L117 HSE ACOP (Rider-operated lift trucks)</t>
        </is>
      </c>
    </row>
    <row r="7">
      <c r="A7" s="7" t="inlineStr">
        <is>
          <t>Order picking at height (MHE / cage picking / pick-to-light)</t>
        </is>
      </c>
      <c r="B7" s="7" t="inlineStr">
        <is>
          <t>Falls from picking platforms/MHE, manual handling of picked items, entrapment in MHE mechanisms</t>
        </is>
      </c>
      <c r="C7" s="7" t="inlineStr">
        <is>
          <t>Pickers, MHE operators</t>
        </is>
      </c>
      <c r="D7" s="7" t="inlineStr">
        <is>
          <t>Fall restraint/arrest for high-level picking, MHE operator training and daily checks, safe systems of work for cage/platform picking</t>
        </is>
      </c>
      <c r="E7" s="7" t="inlineStr">
        <is>
          <t>Work at Height Regulations 2005</t>
        </is>
      </c>
    </row>
    <row r="8">
      <c r="A8" s="5" t="inlineStr">
        <is>
          <t>Mezzanine floor work &amp; access</t>
        </is>
      </c>
      <c r="B8" s="5" t="inlineStr">
        <is>
          <t>Falls from unprotected edges, falling objects onto level below, structural overload of mezzanine</t>
        </is>
      </c>
      <c r="C8" s="5" t="inlineStr">
        <is>
          <t>Warehouse operatives, maintenance staff</t>
        </is>
      </c>
      <c r="D8" s="5" t="inlineStr">
        <is>
          <t>Edge protection/guardrails maintained, load rating clearly signed and not exceeded, toe boards to prevent falling objects</t>
        </is>
      </c>
      <c r="E8" s="5" t="inlineStr">
        <is>
          <t>Work at Height Regulations 2005 / Workplace (Health, Safety and Welfare) Regulations 1992</t>
        </is>
      </c>
    </row>
    <row r="9">
      <c r="A9" s="7" t="inlineStr">
        <is>
          <t>Cross-docking / goods-in / goods-out</t>
        </is>
      </c>
      <c r="B9" s="7" t="inlineStr">
        <is>
          <t>Vehicle movement in yard, manual handling of mixed pallet loads, trip hazards from packaging waste</t>
        </is>
      </c>
      <c r="C9" s="7" t="inlineStr">
        <is>
          <t>Goods-in/out operatives, delivery drivers</t>
        </is>
      </c>
      <c r="D9" s="7" t="inlineStr">
        <is>
          <t>Site traffic management plan, banksman for reversing vehicles, housekeeping regime for packaging waste, safe pallet stacking height limits</t>
        </is>
      </c>
      <c r="E9" s="7" t="inlineStr">
        <is>
          <t>Workplace Transport Safety — HSG136</t>
        </is>
      </c>
    </row>
    <row r="10">
      <c r="A10" s="5" t="inlineStr">
        <is>
          <t>Cold chain / chilled &amp; frozen distribution</t>
        </is>
      </c>
      <c r="B10" s="5" t="inlineStr">
        <is>
          <t>Cold stress, slip on ice/condensation, reduced dexterity affecting manual handling safety</t>
        </is>
      </c>
      <c r="C10" s="5" t="inlineStr">
        <is>
          <t>Cold store pickers, maintenance engineers</t>
        </is>
      </c>
      <c r="D10" s="5" t="inlineStr">
        <is>
          <t>Maximum continuous exposure time per shift, warm-up breaks, anti-slip flooring maintenance, cold-weather PPE issued</t>
        </is>
      </c>
      <c r="E10" s="5" t="inlineStr">
        <is>
          <t>Workplace (Health, Safety and Welfare) Regulations 1992</t>
        </is>
      </c>
    </row>
    <row r="11">
      <c r="A11" s="7" t="inlineStr">
        <is>
          <t>Returns processing / reverse logistics</t>
        </is>
      </c>
      <c r="B11" s="7" t="inlineStr">
        <is>
          <t>Unknown/undeclared hazardous contents in returned goods, manual handling of damaged/leaking items</t>
        </is>
      </c>
      <c r="C11" s="7" t="inlineStr">
        <is>
          <t>Returns processing operatives</t>
        </is>
      </c>
      <c r="D11" s="7" t="inlineStr">
        <is>
          <t>Inspection procedure for suspect returns before handling, spill kit availability, PPE for handling damaged goods of unknown content</t>
        </is>
      </c>
      <c r="E11" s="7" t="inlineStr">
        <is>
          <t>COSHH Regulations 2002 (where hazardous residue suspected)</t>
        </is>
      </c>
    </row>
    <row r="12">
      <c r="A12" s="5" t="inlineStr">
        <is>
          <t>Automated storage &amp; retrieval systems (ASRS) / conveyor sortation</t>
        </is>
      </c>
      <c r="B12" s="5" t="inlineStr">
        <is>
          <t>Entanglement, crush injury during maintenance, software/control fault causing unexpected movement</t>
        </is>
      </c>
      <c r="C12" s="5" t="inlineStr">
        <is>
          <t>Maintenance engineers, operatives working near automated systems</t>
        </is>
      </c>
      <c r="D12" s="5" t="inlineStr">
        <is>
          <t>Lock-out/tag-out before any access, safety-rated guarding and light curtains maintained, change control for software updates</t>
        </is>
      </c>
      <c r="E12" s="5" t="inlineStr">
        <is>
          <t>PUWER 1998 / Machinery Directive (Supply of Machinery (Safety) Regulations 2008)</t>
        </is>
      </c>
    </row>
    <row r="13">
      <c r="A13" s="7" t="inlineStr">
        <is>
          <t>Battery charging bays (FLT / MHE electric batteries)</t>
        </is>
      </c>
      <c r="B13" s="7" t="inlineStr">
        <is>
          <t>Hydrogen gas build-up (explosion risk), acid burns from battery electrolyte, electrical hazard</t>
        </is>
      </c>
      <c r="C13" s="7" t="inlineStr">
        <is>
          <t>Battery changing/charging operatives</t>
        </is>
      </c>
      <c r="D13" s="7" t="inlineStr">
        <is>
          <t>Dedicated ventilated charging bay, no smoking/naked flame, PPE for battery handling (acid-resistant gloves/apron/face shield), eyewash station nearby</t>
        </is>
      </c>
      <c r="E13" s="7" t="inlineStr">
        <is>
          <t>DSEAR / Electricity at Work Regulations 1989</t>
        </is>
      </c>
    </row>
    <row r="14">
      <c r="A14" s="5" t="inlineStr">
        <is>
          <t>Shrink-wrapping / palletising machinery</t>
        </is>
      </c>
      <c r="B14" s="5" t="inlineStr">
        <is>
          <t>Entanglement in wrap machine turntable/mechanism, manual handling during pallet building</t>
        </is>
      </c>
      <c r="C14" s="5" t="inlineStr">
        <is>
          <t>Palletising operatives, maintenance engineers</t>
        </is>
      </c>
      <c r="D14" s="5" t="inlineStr">
        <is>
          <t>Guarding on turntable mechanisms, lock-out before maintenance access, mechanical aids for heavy pallet building</t>
        </is>
      </c>
      <c r="E14" s="5" t="inlineStr">
        <is>
          <t>PUWER 1998</t>
        </is>
      </c>
    </row>
  </sheetData>
  <autoFilter ref="A4:E14"/>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32" customWidth="1" min="1" max="1"/>
    <col width="46" customWidth="1" min="2" max="2"/>
    <col width="26" customWidth="1" min="3" max="3"/>
    <col width="52" customWidth="1" min="4" max="4"/>
  </cols>
  <sheetData>
    <row r="1" ht="26" customHeight="1">
      <c r="A1" s="17" t="inlineStr">
        <is>
          <t>General Manufacturing &amp; Engineering — Hazard Library</t>
        </is>
      </c>
    </row>
    <row r="2" ht="18" customHeight="1">
      <c r="A2" s="18" t="inlineStr">
        <is>
          <t>Machine shops, fabrication, metalworking, assembly — broad applicability across UK industrial clients beyond food/pharma</t>
        </is>
      </c>
    </row>
    <row r="4" ht="32" customHeight="1">
      <c r="A4" s="1" t="inlineStr">
        <is>
          <t>Activity</t>
        </is>
      </c>
      <c r="B4" s="1" t="inlineStr">
        <is>
          <t>Hazard</t>
        </is>
      </c>
      <c r="C4" s="1" t="inlineStr">
        <is>
          <t>Who's Exposed</t>
        </is>
      </c>
      <c r="D4" s="1" t="inlineStr">
        <is>
          <t>Control Measures</t>
        </is>
      </c>
    </row>
    <row r="5">
      <c r="A5" s="6" t="inlineStr">
        <is>
          <t>CNC machining (milling, turning, lathes)</t>
        </is>
      </c>
      <c r="B5" s="6" t="inlineStr">
        <is>
          <t>Entanglement in rotating spindle/chuck, swarf/chip ejection, coolant exposure</t>
        </is>
      </c>
      <c r="C5" s="6" t="inlineStr">
        <is>
          <t>Machine operators, setters</t>
        </is>
      </c>
      <c r="D5" s="6" t="inlineStr">
        <is>
          <t>Machine guarding interlocks (no override), eye protection mandatory, coolant COSHH assessment, no loose clothing/jewellery near rotating parts</t>
        </is>
      </c>
    </row>
    <row r="6">
      <c r="A6" s="5" t="inlineStr">
        <is>
          <t>Press brake / metal forming / stamping</t>
        </is>
      </c>
      <c r="B6" s="5" t="inlineStr">
        <is>
          <t>Crush injury from press closing on hands, noise exposure</t>
        </is>
      </c>
      <c r="C6" s="5" t="inlineStr">
        <is>
          <t>Press operators, setters</t>
        </is>
      </c>
      <c r="D6" s="5" t="inlineStr">
        <is>
          <t>Two-hand controls or light guards preventing hand entry to danger zone, guarding verified before each shift, hearing protection per noise assessment</t>
        </is>
      </c>
    </row>
    <row r="7">
      <c r="A7" s="6" t="inlineStr">
        <is>
          <t>Welding &amp; fabrication (MIG/TIG/MMA)</t>
        </is>
      </c>
      <c r="B7" s="6" t="inlineStr">
        <is>
          <t>Fume inhalation (see COSHH Register — reclassified carcinogen risk), arc eye, burns, fire risk from sparks</t>
        </is>
      </c>
      <c r="C7" s="6" t="inlineStr">
        <is>
          <t>Welders, nearby operatives</t>
        </is>
      </c>
      <c r="D7" s="6" t="inlineStr">
        <is>
          <t>LEV or fume extraction at source, welding screens to protect others, fire watch where combustible materials nearby, appropriate RPE (not just general ventilation)</t>
        </is>
      </c>
    </row>
    <row r="8">
      <c r="A8" s="5" t="inlineStr">
        <is>
          <t>Sheet metal cutting (guillotine, laser, plasma)</t>
        </is>
      </c>
      <c r="B8" s="5" t="inlineStr">
        <is>
          <t>Amputation/crush risk from guillotine, laser/plasma burns and fume, noise</t>
        </is>
      </c>
      <c r="C8" s="5" t="inlineStr">
        <is>
          <t>Cutting machine operators</t>
        </is>
      </c>
      <c r="D8" s="5" t="inlineStr">
        <is>
          <t>Guillotine guarding and two-hand controls, laser cutting enclosure with interlocks, fume extraction for plasma/laser cutting, appropriate eyewear for laser class</t>
        </is>
      </c>
    </row>
    <row r="9">
      <c r="A9" s="6" t="inlineStr">
        <is>
          <t>Grinding, linishing, and finishing</t>
        </is>
      </c>
      <c r="B9" s="6" t="inlineStr">
        <is>
          <t>Abrasive wheel disintegration, dust/particulate inhalation, HAVS from prolonged use</t>
        </is>
      </c>
      <c r="C9" s="6" t="inlineStr">
        <is>
          <t>Finishing operatives</t>
        </is>
      </c>
      <c r="D9" s="6" t="inlineStr">
        <is>
          <t>Abrasive wheel training/certification (mandatory for wheel changes), guarding correctly fitted, RPE, HAVS trigger-time management per operative</t>
        </is>
      </c>
    </row>
    <row r="10">
      <c r="A10" s="5" t="inlineStr">
        <is>
          <t>Powder coating / paint spraying</t>
        </is>
      </c>
      <c r="B10" s="5" t="inlineStr">
        <is>
          <t>Solvent/isocyanate exposure, fire/explosion risk from spray booth atmosphere, skin sensitisation</t>
        </is>
      </c>
      <c r="C10" s="5" t="inlineStr">
        <is>
          <t>Spray booth operatives</t>
        </is>
      </c>
      <c r="D10" s="5" t="inlineStr">
        <is>
          <t>Spray booth with certified extraction, RPE appropriate to coating type (air-fed for isocyanates), ATEX-rated electrical equipment in booth, health surveillance for isocyanate exposure</t>
        </is>
      </c>
    </row>
    <row r="11">
      <c r="A11" s="6" t="inlineStr">
        <is>
          <t>Assembly line / production line work</t>
        </is>
      </c>
      <c r="B11" s="6" t="inlineStr">
        <is>
          <t>Repetitive strain injury, manual handling, entanglement at conveyor transfer points</t>
        </is>
      </c>
      <c r="C11" s="6" t="inlineStr">
        <is>
          <t>Assembly operatives</t>
        </is>
      </c>
      <c r="D11" s="6" t="inlineStr">
        <is>
          <t>Ergonomic workstation assessment, task rotation, conveyor nip-point guarding, manual handling aids for heavier components</t>
        </is>
      </c>
    </row>
    <row r="12">
      <c r="A12" s="5" t="inlineStr">
        <is>
          <t>Overhead crane and hoist operation</t>
        </is>
      </c>
      <c r="B12" s="5" t="inlineStr">
        <is>
          <t>Load fall, crush injury, collision with structure or personnel</t>
        </is>
      </c>
      <c r="C12" s="5" t="inlineStr">
        <is>
          <t>Crane operators, personnel in work area</t>
        </is>
      </c>
      <c r="D12" s="5" t="inlineStr">
        <is>
          <t>LOLER thorough examination in date, trained/authorised operators only, exclusion zone under load, pre-use checks logged</t>
        </is>
      </c>
    </row>
    <row r="13">
      <c r="A13" s="6" t="inlineStr">
        <is>
          <t>Compressed air systems use</t>
        </is>
      </c>
      <c r="B13" s="6" t="inlineStr">
        <is>
          <t>Eye/ear injury from compressed air misuse, air embolism risk from skin contact at close range</t>
        </is>
      </c>
      <c r="C13" s="6" t="inlineStr">
        <is>
          <t>Machine operators, maintenance staff</t>
        </is>
      </c>
      <c r="D13" s="6" t="inlineStr">
        <is>
          <t>Compressed air guns fitted with safety nozzles, training on safe use, never directed at skin/clothing/colleagues, PPE (eye/ear protection) where noise/dust generated</t>
        </is>
      </c>
    </row>
    <row r="14">
      <c r="A14" s="5" t="inlineStr">
        <is>
          <t>Industrial oven / heat treatment processes</t>
        </is>
      </c>
      <c r="B14" s="5" t="inlineStr">
        <is>
          <t>Burns, fume exposure, fire risk</t>
        </is>
      </c>
      <c r="C14" s="5" t="inlineStr">
        <is>
          <t>Heat treatment operatives</t>
        </is>
      </c>
      <c r="D14" s="5" t="inlineStr">
        <is>
          <t>PPE for heat exposure, LEV for process fume, temperature-rated PPE for furnace/oven loading and unloading tasks</t>
        </is>
      </c>
    </row>
    <row r="15">
      <c r="A15" s="6" t="inlineStr">
        <is>
          <t>Site-wide machine guarding &amp; isolation for maintenance</t>
        </is>
      </c>
      <c r="B15" s="6" t="inlineStr">
        <is>
          <t>Unexpected machine start-up during maintenance/cleaning, entanglement</t>
        </is>
      </c>
      <c r="C15" s="6" t="inlineStr">
        <is>
          <t>Maintenance engineers, cleaning staff</t>
        </is>
      </c>
      <c r="D15" s="6" t="inlineStr">
        <is>
          <t>Lock-out/tag-out (LOTO) procedure for all machine maintenance, isolation verified before access, permit system for high-risk machine work</t>
        </is>
      </c>
    </row>
  </sheetData>
  <autoFilter ref="A4:D15"/>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32" customWidth="1" min="1" max="1"/>
    <col width="50" customWidth="1" min="2" max="2"/>
    <col width="26" customWidth="1" min="3" max="3"/>
    <col width="50" customWidth="1" min="4" max="4"/>
  </cols>
  <sheetData>
    <row r="1" ht="26" customHeight="1">
      <c r="A1" s="17" t="inlineStr">
        <is>
          <t>Waste &amp; Recycling — Hazard Library</t>
        </is>
      </c>
    </row>
    <row r="2" ht="18" customHeight="1">
      <c r="A2" s="18" t="inlineStr">
        <is>
          <t>MRF, RCV collection, landfill, WEEE, hazardous waste — a distinct UK sector with a notably high injury rate, growing MySafeOps-relevant client base</t>
        </is>
      </c>
    </row>
    <row r="4" ht="32" customHeight="1">
      <c r="A4" s="1" t="inlineStr">
        <is>
          <t>Activity</t>
        </is>
      </c>
      <c r="B4" s="1" t="inlineStr">
        <is>
          <t>Hazard</t>
        </is>
      </c>
      <c r="C4" s="1" t="inlineStr">
        <is>
          <t>Who's Exposed</t>
        </is>
      </c>
      <c r="D4" s="1" t="inlineStr">
        <is>
          <t>Control Measures</t>
        </is>
      </c>
    </row>
    <row r="5">
      <c r="A5" s="2" t="inlineStr">
        <is>
          <t>Waste reception and tipping floor operations</t>
        </is>
      </c>
      <c r="B5" s="2" t="inlineStr">
        <is>
          <t>Vehicle/pedestrian collision, being struck by tipping loads, unstable waste piles collapsing</t>
        </is>
      </c>
      <c r="C5" s="2" t="inlineStr">
        <is>
          <t>Tipping floor operatives, banksmen</t>
        </is>
      </c>
      <c r="D5" s="2" t="inlineStr">
        <is>
          <t>Segregated pedestrian routes, banksman for all reversing vehicles, waste pile height limits, high-vis mandatory</t>
        </is>
      </c>
    </row>
    <row r="6">
      <c r="A6" s="5" t="inlineStr">
        <is>
          <t>Materials Recovery Facility (MRF) picking line</t>
        </is>
      </c>
      <c r="B6" s="5" t="inlineStr">
        <is>
          <t>Manual sorting exposure to sharps, biological hazards, unknown/hazardous items in mixed waste; entanglement at conveyor transfer points</t>
        </is>
      </c>
      <c r="C6" s="5" t="inlineStr">
        <is>
          <t>Picking line operatives</t>
        </is>
      </c>
      <c r="D6" s="5" t="inlineStr">
        <is>
          <t>Cut-resistant gloves, hepatitis B vaccination offered, sharps disposal procedure, conveyor guarding at all transfer/pinch points, RPE for dust</t>
        </is>
      </c>
    </row>
    <row r="7">
      <c r="A7" s="2" t="inlineStr">
        <is>
          <t>Baling and compaction equipment</t>
        </is>
      </c>
      <c r="B7" s="2" t="inlineStr">
        <is>
          <t>Crush injury, entanglement in baler mechanism</t>
        </is>
      </c>
      <c r="C7" s="2" t="inlineStr">
        <is>
          <t>Baler operators, maintenance staff</t>
        </is>
      </c>
      <c r="D7" s="2" t="inlineStr">
        <is>
          <t>Interlocked guarding preventing access during operation, lock-out before any clearing of jams or maintenance, emergency stop clearly accessible and tested</t>
        </is>
      </c>
    </row>
    <row r="8">
      <c r="A8" s="5" t="inlineStr">
        <is>
          <t>Shredding / size-reduction machinery</t>
        </is>
      </c>
      <c r="B8" s="5" t="inlineStr">
        <is>
          <t>Entanglement, projectile ejection of shredded material, noise</t>
        </is>
      </c>
      <c r="C8" s="5" t="inlineStr">
        <is>
          <t>Shredder operators</t>
        </is>
      </c>
      <c r="D8" s="5" t="inlineStr">
        <is>
          <t>Feed hopper guarding preventing reach-in, exclusion zone for projectile risk, hearing protection, lock-out before unblocking</t>
        </is>
      </c>
    </row>
    <row r="9">
      <c r="A9" s="2" t="inlineStr">
        <is>
          <t>Refuse Collection Vehicle (RCV) operation and loading</t>
        </is>
      </c>
      <c r="B9" s="2" t="inlineStr">
        <is>
          <t>Crush injury from compaction mechanism, manual handling of bins, traffic risk during collection rounds</t>
        </is>
      </c>
      <c r="C9" s="2" t="inlineStr">
        <is>
          <t>RCV crew, loaders</t>
        </is>
      </c>
      <c r="D9" s="2" t="inlineStr">
        <is>
          <t>Compaction mechanism interlocks and emergency stops accessible to loaders, manual handling technique for bins, high-vis and reversing awareness for street-level collection</t>
        </is>
      </c>
    </row>
    <row r="10">
      <c r="A10" s="5" t="inlineStr">
        <is>
          <t>Hazardous/clinical waste handling</t>
        </is>
      </c>
      <c r="B10" s="5" t="inlineStr">
        <is>
          <t>Biological hazard, sharps injury, chemical exposure from mixed hazardous streams</t>
        </is>
      </c>
      <c r="C10" s="5" t="inlineStr">
        <is>
          <t>Hazardous waste operatives</t>
        </is>
      </c>
      <c r="D10" s="5" t="inlineStr">
        <is>
          <t>Segregation at source enforced, PPE per waste stream classification, spill response kit available, vaccination/health surveillance per waste category</t>
        </is>
      </c>
    </row>
    <row r="11">
      <c r="A11" s="2" t="inlineStr">
        <is>
          <t>Landfill site operations</t>
        </is>
      </c>
      <c r="B11" s="2" t="inlineStr">
        <is>
          <t>Vehicle rollover on uneven/unstable ground, methane gas exposure, fire risk from waste decomposition</t>
        </is>
      </c>
      <c r="C11" s="2" t="inlineStr">
        <is>
          <t>Landfill operatives, compactor/plant drivers</t>
        </is>
      </c>
      <c r="D11" s="2" t="inlineStr">
        <is>
          <t>Gas monitoring for methane, site-specific vehicle routing and stability assessment, fire watch and suppression equipment, PPE for gas/odour exposure</t>
        </is>
      </c>
    </row>
    <row r="12">
      <c r="A12" s="5" t="inlineStr">
        <is>
          <t>WEEE (electrical/electronic waste) processing</t>
        </is>
      </c>
      <c r="B12" s="5" t="inlineStr">
        <is>
          <t>Exposure to hazardous components (batteries, mercury-containing items, refrigerant gases from appliances)</t>
        </is>
      </c>
      <c r="C12" s="5" t="inlineStr">
        <is>
          <t>WEEE processing operatives</t>
        </is>
      </c>
      <c r="D12" s="5" t="inlineStr">
        <is>
          <t>Component-specific handling procedures, PPE for battery/mercury handling, refrigerant recovery per F-Gas regulations before appliance breakdown</t>
        </is>
      </c>
    </row>
    <row r="13">
      <c r="A13" s="2" t="inlineStr">
        <is>
          <t>Confined space entry in waste tanks/silos</t>
        </is>
      </c>
      <c r="B13" s="2" t="inlineStr">
        <is>
          <t>Toxic/oxygen-deficient atmosphere from decomposing organic waste (e.g. anaerobic digestion feedstock)</t>
        </is>
      </c>
      <c r="C13" s="2" t="inlineStr">
        <is>
          <t>Maintenance operatives entering tanks/silos</t>
        </is>
      </c>
      <c r="D13" s="2" t="inlineStr">
        <is>
          <t>Full confined space entry protocol (see New RA Rows sheet), atmosphere testing before and during entry, no lone entry</t>
        </is>
      </c>
    </row>
  </sheetData>
  <autoFilter ref="A4:D13"/>
  <mergeCells count="2">
    <mergeCell ref="A1:D1"/>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36" customWidth="1" min="1" max="1"/>
    <col width="50" customWidth="1" min="2" max="2"/>
    <col width="28" customWidth="1" min="3" max="3"/>
    <col width="52" customWidth="1" min="4" max="4"/>
  </cols>
  <sheetData>
    <row r="1" ht="26" customHeight="1">
      <c r="A1" s="17" t="inlineStr">
        <is>
          <t>Renewable Energy — Hazard Library</t>
        </is>
      </c>
    </row>
    <row r="2" ht="18" customHeight="1">
      <c r="A2" s="18" t="inlineStr">
        <is>
          <t>Solar PV, onshore wind, battery storage, heat pumps — a fast-growing UK sector with hazard profiles distinct from traditional construction/M&amp;E</t>
        </is>
      </c>
    </row>
    <row r="4" ht="32" customHeight="1">
      <c r="A4" s="1" t="inlineStr">
        <is>
          <t>Activity</t>
        </is>
      </c>
      <c r="B4" s="1" t="inlineStr">
        <is>
          <t>Hazard</t>
        </is>
      </c>
      <c r="C4" s="1" t="inlineStr">
        <is>
          <t>Who's Exposed</t>
        </is>
      </c>
      <c r="D4" s="1" t="inlineStr">
        <is>
          <t>Control Measures</t>
        </is>
      </c>
    </row>
    <row r="5">
      <c r="A5" s="67" t="inlineStr">
        <is>
          <t>Solar PV panel installation (roof-mounted)</t>
        </is>
      </c>
      <c r="B5" s="67" t="inlineStr">
        <is>
          <t>Falls from height, fragile roof surfaces (especially on industrial/agricultural buildings), manual handling of panels</t>
        </is>
      </c>
      <c r="C5" s="67" t="inlineStr">
        <is>
          <t>Solar installation engineers</t>
        </is>
      </c>
      <c r="D5" s="67" t="inlineStr">
        <is>
          <t>Roof edge protection and fall arrest systems, fragile roof survey before access, mechanical lifting aids for panel handling, work at height permit</t>
        </is>
      </c>
    </row>
    <row r="6">
      <c r="A6" s="5" t="inlineStr">
        <is>
          <t>Solar PV ground-mounted / solar farm installation</t>
        </is>
      </c>
      <c r="B6" s="5" t="inlineStr">
        <is>
          <t>Manual handling, working with live DC systems, weather exposure (lone/remote sites)</t>
        </is>
      </c>
      <c r="C6" s="5" t="inlineStr">
        <is>
          <t>Solar farm installation and maintenance crews</t>
        </is>
      </c>
      <c r="D6" s="5" t="inlineStr">
        <is>
          <t>DC isolation procedure before any electrical work, lone worker protocol for remote site visits, weather-appropriate PPE, emergency contact procedure for remote locations</t>
        </is>
      </c>
    </row>
    <row r="7">
      <c r="A7" s="67" t="inlineStr">
        <is>
          <t>Solar inverter and electrical connection work</t>
        </is>
      </c>
      <c r="B7" s="67" t="inlineStr">
        <is>
          <t>Arc flash, DC electric shock (DC arcs do not self-extinguish like AC), fire risk</t>
        </is>
      </c>
      <c r="C7" s="67" t="inlineStr">
        <is>
          <t>Electricians, commissioning engineers</t>
        </is>
      </c>
      <c r="D7" s="67" t="inlineStr">
        <is>
          <t>DC-rated isolation and test equipment, arc flash risk assessment, PPE rated for DC electrical work, permit to work for live testing</t>
        </is>
      </c>
    </row>
    <row r="8">
      <c r="A8" s="5" t="inlineStr">
        <is>
          <t>Wind turbine — onshore tower access and maintenance</t>
        </is>
      </c>
      <c r="B8" s="5" t="inlineStr">
        <is>
          <t>Falls from extreme height, confined space within tower/nacelle, working in high wind conditions</t>
        </is>
      </c>
      <c r="C8" s="5" t="inlineStr">
        <is>
          <t>Turbine technicians</t>
        </is>
      </c>
      <c r="D8" s="5" t="inlineStr">
        <is>
          <t>Certified GWO (Global Wind Organisation) training, fall arrest systems specific to turbine access, wind speed limits for external work, rescue plan for tower/nacelle incidents</t>
        </is>
      </c>
    </row>
    <row r="9">
      <c r="A9" s="67" t="inlineStr">
        <is>
          <t>Wind turbine — nacelle and rotor work</t>
        </is>
      </c>
      <c r="B9" s="67" t="inlineStr">
        <is>
          <t>Rotor movement risk if not fully locked off, confined space, working at extreme height with limited rescue access</t>
        </is>
      </c>
      <c r="C9" s="67" t="inlineStr">
        <is>
          <t>Turbine technicians</t>
        </is>
      </c>
      <c r="D9" s="67" t="inlineStr">
        <is>
          <t>Rotor lock and electrical isolation verified before any nacelle/rotor access, confined space protocol for nacelle entry, dedicated rescue equipment carried at height</t>
        </is>
      </c>
    </row>
    <row r="10">
      <c r="A10" s="5" t="inlineStr">
        <is>
          <t>Battery Energy Storage System (BESS) installation/maintenance</t>
        </is>
      </c>
      <c r="B10" s="5" t="inlineStr">
        <is>
          <t>Thermal runaway/fire risk from lithium battery systems, high-voltage DC exposure, toxic gas release if battery fails</t>
        </is>
      </c>
      <c r="C10" s="5" t="inlineStr">
        <is>
          <t>BESS installation and maintenance engineers</t>
        </is>
      </c>
      <c r="D10" s="5" t="inlineStr">
        <is>
          <t>Manufacturer-specific safety procedure for the battery chemistry in use, fire suppression appropriate to lithium battery fires, gas detection for thermal runaway byproducts, high-voltage isolation procedure</t>
        </is>
      </c>
    </row>
    <row r="11">
      <c r="A11" s="67" t="inlineStr">
        <is>
          <t>Heat pump and district heating system installation</t>
        </is>
      </c>
      <c r="B11" s="67" t="inlineStr">
        <is>
          <t>Refrigerant handling (for air/ground source heat pumps), manual handling of plant, confined space for ground loop trenching</t>
        </is>
      </c>
      <c r="C11" s="67" t="inlineStr">
        <is>
          <t>Heat pump installation engineers</t>
        </is>
      </c>
      <c r="D11" s="67" t="inlineStr">
        <is>
          <t>F-Gas certified handling for refrigerant-based systems, excavation permit for ground loop trenching, manual handling aids for plant equipment</t>
        </is>
      </c>
    </row>
    <row r="12">
      <c r="A12" s="5" t="inlineStr">
        <is>
          <t>Electrical substation and grid connection work</t>
        </is>
      </c>
      <c r="B12" s="5" t="inlineStr">
        <is>
          <t>High-voltage electrocution risk, arc flash, restricted/controlled access area hazards</t>
        </is>
      </c>
      <c r="C12" s="5" t="inlineStr">
        <is>
          <t>Grid connection engineers</t>
        </is>
      </c>
      <c r="D12" s="5" t="inlineStr">
        <is>
          <t>High-voltage authorisation and permit to work system, arc flash PPE rated to assessed incident energy, strict access control per Distribution Network Operator (DNO) procedures</t>
        </is>
      </c>
    </row>
  </sheetData>
  <autoFilter ref="A4:D12"/>
  <mergeCells count="2">
    <mergeCell ref="A1:D1"/>
    <mergeCell ref="A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36" customWidth="1" min="1" max="1"/>
    <col width="50" customWidth="1" min="2" max="2"/>
    <col width="30" customWidth="1" min="3" max="3"/>
    <col width="52" customWidth="1" min="4" max="4"/>
  </cols>
  <sheetData>
    <row r="1" ht="26" customHeight="1">
      <c r="A1" s="17" t="inlineStr">
        <is>
          <t>Survey &amp; Drone Operations — Hazard Library</t>
        </is>
      </c>
    </row>
    <row r="2" ht="18" customHeight="1">
      <c r="A2" s="18" t="inlineStr">
        <is>
          <t>Utility/GPR survey, topographic survey, drone/UAV operations, point cloud/LiDAR — MySafeOps's own service sector, currently the biggest gap in the multi-client roadmap</t>
        </is>
      </c>
    </row>
    <row r="4" ht="32" customHeight="1">
      <c r="A4" s="1" t="inlineStr">
        <is>
          <t>Activity</t>
        </is>
      </c>
      <c r="B4" s="1" t="inlineStr">
        <is>
          <t>Hazard</t>
        </is>
      </c>
      <c r="C4" s="1" t="inlineStr">
        <is>
          <t>Who's Exposed</t>
        </is>
      </c>
      <c r="D4" s="1" t="inlineStr">
        <is>
          <t>Control Measures</t>
        </is>
      </c>
    </row>
    <row r="5">
      <c r="A5" s="71" t="inlineStr">
        <is>
          <t>Utility/GPR survey — public highway working</t>
        </is>
      </c>
      <c r="B5" s="71" t="inlineStr">
        <is>
          <t>Struck by traffic, working in live carriageway/footway</t>
        </is>
      </c>
      <c r="C5" s="71" t="inlineStr">
        <is>
          <t>Survey technicians</t>
        </is>
      </c>
      <c r="D5" s="71" t="inlineStr">
        <is>
          <t>Traffic management plan per Chapter 8, high-vis mandatory, lookout/banksman for live traffic sections, coned-off working area where practical</t>
        </is>
      </c>
    </row>
    <row r="6">
      <c r="A6" s="5" t="inlineStr">
        <is>
          <t>Utility/GPR survey — buried service strike risk</t>
        </is>
      </c>
      <c r="B6" s="5" t="inlineStr">
        <is>
          <t>Strike on live electrical, gas, or water services during any invasive check (e.g. trial holes to verify GPR findings)</t>
        </is>
      </c>
      <c r="C6" s="5" t="inlineStr">
        <is>
          <t>Survey technicians, trial-hole operatives</t>
        </is>
      </c>
      <c r="D6" s="5" t="inlineStr">
        <is>
          <t>CAT &amp; Genny scan before any excavation, utility plans obtained in advance, safe digging practice (HSE HSG47), permit to dig where site requires</t>
        </is>
      </c>
    </row>
    <row r="7">
      <c r="A7" s="71" t="inlineStr">
        <is>
          <t>GPR survey — equipment manual handling</t>
        </is>
      </c>
      <c r="B7" s="71" t="inlineStr">
        <is>
          <t>Manual handling injury from carrying/pushing GPR cart systems over uneven ground</t>
        </is>
      </c>
      <c r="C7" s="71" t="inlineStr">
        <is>
          <t>Survey technicians</t>
        </is>
      </c>
      <c r="D7" s="71" t="inlineStr">
        <is>
          <t>Correct pushing/lifting technique, wheeled cart systems used where ground allows, team lift for equipment over 25kg, task rotation on long survey runs</t>
        </is>
      </c>
    </row>
    <row r="8">
      <c r="A8" s="5" t="inlineStr">
        <is>
          <t>Topographic survey — total station / GNSS work near traffic or plant</t>
        </is>
      </c>
      <c r="B8" s="5" t="inlineStr">
        <is>
          <t>Struck by vehicle/plant while stationary taking readings, tripping over site debris while focused on instrument</t>
        </is>
      </c>
      <c r="C8" s="5" t="inlineStr">
        <is>
          <t>Survey technicians</t>
        </is>
      </c>
      <c r="D8" s="5" t="inlineStr">
        <is>
          <t>High-vis mandatory, situational awareness briefing before entering active sites, avoid working with back to live traffic/plant movement</t>
        </is>
      </c>
    </row>
    <row r="9">
      <c r="A9" s="71" t="inlineStr">
        <is>
          <t>Topographic survey — access to uneven/hazardous terrain</t>
        </is>
      </c>
      <c r="B9" s="71" t="inlineStr">
        <is>
          <t>Slips, trips, falls on rough ground, riverbanks, embankments, spoil heaps</t>
        </is>
      </c>
      <c r="C9" s="71" t="inlineStr">
        <is>
          <t>Survey technicians</t>
        </is>
      </c>
      <c r="D9" s="71" t="inlineStr">
        <is>
          <t>Site walk-over risk assessment before starting, appropriate footwear for terrain, avoid working alone on high-risk terrain, weather-appropriate PPE</t>
        </is>
      </c>
    </row>
    <row r="10">
      <c r="A10" s="5" t="inlineStr">
        <is>
          <t>Drone (UAV) survey — flight operations</t>
        </is>
      </c>
      <c r="B10" s="5" t="inlineStr">
        <is>
          <t>Loss of control/fly-away, collision with structures/people/other aircraft, injury from rotating propellers</t>
        </is>
      </c>
      <c r="C10" s="5" t="inlineStr">
        <is>
          <t>Drone pilots, public/site personnel below flight path</t>
        </is>
      </c>
      <c r="D10" s="5" t="inlineStr">
        <is>
          <t>CAA-compliant operations (A2 CofC / GVC as required for the operation), pre-flight risk assessment, flight logged, no-fly zone check (NOTAM/restricted airspace), exclusion zone below flight path, visual observer for BVLOS or complex sites</t>
        </is>
      </c>
    </row>
    <row r="11">
      <c r="A11" s="71" t="inlineStr">
        <is>
          <t>Drone survey — battery (LiPo) handling and charging</t>
        </is>
      </c>
      <c r="B11" s="71" t="inlineStr">
        <is>
          <t>Fire/explosion risk from damaged or incorrectly charged lithium polymer batteries</t>
        </is>
      </c>
      <c r="C11" s="71" t="inlineStr">
        <is>
          <t>Drone pilots</t>
        </is>
      </c>
      <c r="D11" s="71" t="inlineStr">
        <is>
          <t>Fireproof LiPo charging bag/box, batteries inspected for damage/swelling before use, never charged unattended, damaged batteries disposed of via specialist route, not general waste</t>
        </is>
      </c>
    </row>
    <row r="12">
      <c r="A12" s="5" t="inlineStr">
        <is>
          <t>Drone survey — operating near overhead power lines/structures</t>
        </is>
      </c>
      <c r="B12" s="5" t="inlineStr">
        <is>
          <t>Collision with overhead lines, electromagnetic interference affecting drone control</t>
        </is>
      </c>
      <c r="C12" s="5" t="inlineStr">
        <is>
          <t>Drone pilots</t>
        </is>
      </c>
      <c r="D12" s="5" t="inlineStr">
        <is>
          <t>Minimum standoff distance from overhead lines per site risk assessment, awareness that EMI near substations/pylons can affect GPS/control signal, abort procedure if control anomalies occur</t>
        </is>
      </c>
    </row>
    <row r="13">
      <c r="A13" s="71" t="inlineStr">
        <is>
          <t>Drone survey — public safety during flight over/near public areas</t>
        </is>
      </c>
      <c r="B13" s="71" t="inlineStr">
        <is>
          <t>Injury to members of the public from a fly-away or crash</t>
        </is>
      </c>
      <c r="C13" s="71" t="inlineStr">
        <is>
          <t>Public, site visitors</t>
        </is>
      </c>
      <c r="D13" s="71" t="inlineStr">
        <is>
          <t>Flight planning avoiding overflight of uninvolved persons where possible, exclusion zone/signage during flight, public liability insurance in place, incident/near-miss reporting to CAA where required (Mandatory Occurrence Reporting)</t>
        </is>
      </c>
    </row>
    <row r="14">
      <c r="A14" s="5" t="inlineStr">
        <is>
          <t>Point cloud / LiDAR scanning — static and mobile scanning</t>
        </is>
      </c>
      <c r="B14" s="5" t="inlineStr">
        <is>
          <t>Manual handling of scanning equipment, tripping over tripod/cabling, laser eye safety (for higher-class scanning lasers)</t>
        </is>
      </c>
      <c r="C14" s="5" t="inlineStr">
        <is>
          <t>Survey technicians</t>
        </is>
      </c>
      <c r="D14" s="5" t="inlineStr">
        <is>
          <t>Cable management to avoid trip hazard, correct tripod setup and securing on uneven ground, laser classification checked and appropriate signage/eyewear if required for the scanner class</t>
        </is>
      </c>
    </row>
    <row r="15">
      <c r="A15" s="71" t="inlineStr">
        <is>
          <t>Confined access survey (chambers, ducts, culverts for utility mapping)</t>
        </is>
      </c>
      <c r="B15" s="71" t="inlineStr">
        <is>
          <t>Confined space atmosphere risk, entrapment, poor visibility/lighting</t>
        </is>
      </c>
      <c r="C15" s="71" t="inlineStr">
        <is>
          <t>Survey technicians accessing chambers/ducts</t>
        </is>
      </c>
      <c r="D15" s="71" t="inlineStr">
        <is>
          <t>Full confined space entry protocol before any chamber/duct entry (see New RA Rows sheet), gas testing, no lone entry, chamber covers secured/guarded while open to prevent public falls</t>
        </is>
      </c>
    </row>
    <row r="16">
      <c r="A16" s="5" t="inlineStr">
        <is>
          <t>Lone/remote site working for survey jobs</t>
        </is>
      </c>
      <c r="B16" s="5" t="inlineStr">
        <is>
          <t>Delayed emergency response if isolated on a rural/remote survey site with poor phone signal</t>
        </is>
      </c>
      <c r="C16" s="5" t="inlineStr">
        <is>
          <t>Survey technicians on remote/rural sites</t>
        </is>
      </c>
      <c r="D16" s="5" t="inlineStr">
        <is>
          <t>Lone worker check-in device/app with GPS tracking where signal allows, planned check-in times agreed before departure, emergency contact briefed on site location and expected return</t>
        </is>
      </c>
    </row>
    <row r="17">
      <c r="A17" s="71" t="inlineStr">
        <is>
          <t>Working on active construction/utility sites while surveying</t>
        </is>
      </c>
      <c r="B17" s="71" t="inlineStr">
        <is>
          <t>Exposure to third-party site hazards (plant movement, excavations, overhead work) while focused on survey task</t>
        </is>
      </c>
      <c r="C17" s="71" t="inlineStr">
        <is>
          <t>Survey technicians</t>
        </is>
      </c>
      <c r="D17" s="71" t="inlineStr">
        <is>
          <t>Site induction completed before survey work begins, PPE per site rules, situational awareness maintained — survey task should never override basic site safety awareness</t>
        </is>
      </c>
    </row>
    <row r="18">
      <c r="A18" s="5" t="inlineStr">
        <is>
          <t>Vehicle-based survey / driving between sites</t>
        </is>
      </c>
      <c r="B18" s="5" t="inlineStr">
        <is>
          <t>Road traffic incidents, fatigue from multi-site daily travel</t>
        </is>
      </c>
      <c r="C18" s="5" t="inlineStr">
        <is>
          <t>Survey technicians driving between jobs</t>
        </is>
      </c>
      <c r="D18" s="5" t="inlineStr">
        <is>
          <t>Driver risk assessment, fatigue management for multi-site days, vehicle equipment secured in transit (GPR carts, tripods, drone cases) to prevent load shift</t>
        </is>
      </c>
    </row>
    <row r="19">
      <c r="A19" s="71" t="inlineStr">
        <is>
          <t>Data processing / office-based point cloud and GPR interpretation</t>
        </is>
      </c>
      <c r="B19" s="71" t="inlineStr">
        <is>
          <t>Display screen equipment (DSE) strain from extended processing work, eye strain</t>
        </is>
      </c>
      <c r="C19" s="71" t="inlineStr">
        <is>
          <t>Office-based survey data processors</t>
        </is>
      </c>
      <c r="D19" s="71" t="inlineStr">
        <is>
          <t>DSE assessment for workstation setup, regular screen breaks, appropriate monitor/lighting setup for detailed data review work</t>
        </is>
      </c>
    </row>
  </sheetData>
  <autoFilter ref="A4:D19"/>
  <mergeCells count="2">
    <mergeCell ref="A1:D1"/>
    <mergeCell ref="A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50" customWidth="1" min="1" max="1"/>
    <col width="42" customWidth="1" min="2" max="2"/>
    <col width="32" customWidth="1" min="3" max="3"/>
  </cols>
  <sheetData>
    <row r="1" ht="26" customHeight="1">
      <c r="A1" s="17" t="inlineStr">
        <is>
          <t>Legislation &amp; Standards Register</t>
        </is>
      </c>
    </row>
    <row r="2" ht="18" customHeight="1">
      <c r="A2" s="18" t="inlineStr">
        <is>
          <t>UK regulations underpinning each hazard area — for referencing in RAMS documents and client audits</t>
        </is>
      </c>
    </row>
    <row r="4" ht="32" customHeight="1">
      <c r="A4" s="1" t="inlineStr">
        <is>
          <t>Regulation / Standard</t>
        </is>
      </c>
      <c r="B4" s="1" t="inlineStr">
        <is>
          <t>Applies To</t>
        </is>
      </c>
      <c r="C4" s="1" t="inlineStr">
        <is>
          <t>Currently Referenced in RAMS?</t>
        </is>
      </c>
    </row>
    <row r="5">
      <c r="A5" s="2" t="inlineStr">
        <is>
          <t>Management of Health and Safety at Work Regulations 1999</t>
        </is>
      </c>
      <c r="B5" s="2" t="inlineStr">
        <is>
          <t>General risk assessment duty</t>
        </is>
      </c>
      <c r="C5" s="37" t="inlineStr">
        <is>
          <t>Implied, not named</t>
        </is>
      </c>
    </row>
    <row r="6">
      <c r="A6" s="19" t="inlineStr">
        <is>
          <t>Construction (Design and Management) Regulations 2015 (CDM)</t>
        </is>
      </c>
      <c r="B6" s="19" t="inlineStr">
        <is>
          <t>CDM Services / construction-related projects</t>
        </is>
      </c>
      <c r="C6" s="38" t="inlineStr">
        <is>
          <t>NOT referenced</t>
        </is>
      </c>
    </row>
    <row r="7">
      <c r="A7" s="2" t="inlineStr">
        <is>
          <t>Control of Substances Hazardous to Health Regulations 2002 (COSHH)</t>
        </is>
      </c>
      <c r="B7" s="2" t="inlineStr">
        <is>
          <t>Lubricants, sealants, chemicals, welding fumes</t>
        </is>
      </c>
      <c r="C7" s="37" t="inlineStr">
        <is>
          <t>Referenced but marked NO with no attachments</t>
        </is>
      </c>
    </row>
    <row r="8">
      <c r="A8" s="19" t="inlineStr">
        <is>
          <t>Lifting Operations and Lifting Equipment Regulations 1998 (LOLER)</t>
        </is>
      </c>
      <c r="B8" s="19" t="inlineStr">
        <is>
          <t>Machinery lifting/relocation, crane/hoist use</t>
        </is>
      </c>
      <c r="C8" s="38" t="inlineStr">
        <is>
          <t>NOT referenced</t>
        </is>
      </c>
    </row>
    <row r="9">
      <c r="A9" s="19" t="inlineStr">
        <is>
          <t>Provision and Use of Work Equipment Regulations 1998 (PUWER)</t>
        </is>
      </c>
      <c r="B9" s="19" t="inlineStr">
        <is>
          <t>All work equipment and machinery handed back to site</t>
        </is>
      </c>
      <c r="C9" s="38" t="inlineStr">
        <is>
          <t>NOT referenced</t>
        </is>
      </c>
    </row>
    <row r="10">
      <c r="A10" s="2" t="inlineStr">
        <is>
          <t>Confined Spaces Regulations 1997</t>
        </is>
      </c>
      <c r="B10" s="2" t="inlineStr">
        <is>
          <t>Ceiling voids, tanks, pits, vessels</t>
        </is>
      </c>
      <c r="C10" s="37" t="inlineStr">
        <is>
          <t>Partially — only electrical hazard in voids mentioned</t>
        </is>
      </c>
    </row>
    <row r="11">
      <c r="A11" s="2" t="inlineStr">
        <is>
          <t>Work at Height Regulations 2005</t>
        </is>
      </c>
      <c r="B11" s="2" t="inlineStr">
        <is>
          <t>MEWP, ladders, scaffold, roof work</t>
        </is>
      </c>
      <c r="C11" s="37" t="inlineStr">
        <is>
          <t>Referenced via method statement, no formal permit</t>
        </is>
      </c>
    </row>
    <row r="12">
      <c r="A12" s="19" t="inlineStr">
        <is>
          <t>Control of Vibration at Work Regulations 2005</t>
        </is>
      </c>
      <c r="B12" s="19" t="inlineStr">
        <is>
          <t>Angle grinders, drills, impact tools (HAVS)</t>
        </is>
      </c>
      <c r="C12" s="38" t="inlineStr">
        <is>
          <t>NOT referenced</t>
        </is>
      </c>
    </row>
    <row r="13">
      <c r="A13" s="2" t="inlineStr">
        <is>
          <t>Control of Noise at Work Regulations 2005</t>
        </is>
      </c>
      <c r="B13" s="2" t="inlineStr">
        <is>
          <t>All power tool and grinding work (85dB threshold)</t>
        </is>
      </c>
      <c r="C13" s="37" t="inlineStr">
        <is>
          <t>Referenced (85dB threshold used)</t>
        </is>
      </c>
    </row>
    <row r="14">
      <c r="A14" s="19" t="inlineStr">
        <is>
          <t>Dangerous Substances and Explosive Atmospheres Regulations 2002 (DSEAR) / ATEX</t>
        </is>
      </c>
      <c r="B14" s="19" t="inlineStr">
        <is>
          <t>Combustible dust environments, hot work near flour/protein dust</t>
        </is>
      </c>
      <c r="C14" s="38" t="inlineStr">
        <is>
          <t>NOT referenced</t>
        </is>
      </c>
    </row>
    <row r="15">
      <c r="A15" s="19" t="inlineStr">
        <is>
          <t>Gas Safety (Installation and Use) Regulations 1998</t>
        </is>
      </c>
      <c r="B15" s="19" t="inlineStr">
        <is>
          <t>Any gas-fired equipment work</t>
        </is>
      </c>
      <c r="C15" s="38" t="inlineStr">
        <is>
          <t>NOT referenced</t>
        </is>
      </c>
    </row>
    <row r="16">
      <c r="A16" s="19" t="inlineStr">
        <is>
          <t>F-Gas Regulations (EU 517/2014 as retained in UK law)</t>
        </is>
      </c>
      <c r="B16" s="19" t="inlineStr">
        <is>
          <t>Ammonia/refrigerant handling</t>
        </is>
      </c>
      <c r="C16" s="38" t="inlineStr">
        <is>
          <t>NOT referenced</t>
        </is>
      </c>
    </row>
    <row r="17">
      <c r="A17" s="19" t="inlineStr">
        <is>
          <t>Legionnaires' Disease: ACOP L8 / HSG274</t>
        </is>
      </c>
      <c r="B17" s="19" t="inlineStr">
        <is>
          <t>RO systems, water pipework, cooling towers</t>
        </is>
      </c>
      <c r="C17" s="38" t="inlineStr">
        <is>
          <t>NOT referenced</t>
        </is>
      </c>
    </row>
    <row r="18">
      <c r="A18" s="19" t="inlineStr">
        <is>
          <t>Food Safety Act 1990 / Regulation (EC) 852/2004 (HACCP)</t>
        </is>
      </c>
      <c r="B18" s="19" t="inlineStr">
        <is>
          <t>All work inside food production environments</t>
        </is>
      </c>
      <c r="C18" s="38" t="inlineStr">
        <is>
          <t>NOT referenced</t>
        </is>
      </c>
    </row>
    <row r="19">
      <c r="A19" s="2" t="inlineStr">
        <is>
          <t>Manual Handling Operations Regulations 1992</t>
        </is>
      </c>
      <c r="B19" s="2" t="inlineStr">
        <is>
          <t>25kg lift threshold used throughout RAMS</t>
        </is>
      </c>
      <c r="C19" s="37" t="inlineStr">
        <is>
          <t>Referenced (technique described, no certificate)</t>
        </is>
      </c>
    </row>
    <row r="20">
      <c r="A20" s="19" t="inlineStr">
        <is>
          <t>Reporting of Injuries, Diseases and Dangerous Occurrences Regulations 2013 (RIDDOR)</t>
        </is>
      </c>
      <c r="B20" s="19" t="inlineStr">
        <is>
          <t>Incident/accident reporting</t>
        </is>
      </c>
      <c r="C20" s="38" t="inlineStr">
        <is>
          <t>NOT referenced in any RAMS</t>
        </is>
      </c>
    </row>
    <row r="21">
      <c r="A21" s="28" t="inlineStr">
        <is>
          <t>Electricity at Work Regulations 1989 (EAWR)</t>
        </is>
      </c>
      <c r="B21" s="28" t="inlineStr">
        <is>
          <t>All isolation, live testing, wiring work</t>
        </is>
      </c>
      <c r="C21" s="41" t="inlineStr">
        <is>
          <t>Strongly referenced throughout</t>
        </is>
      </c>
    </row>
    <row r="22">
      <c r="A22" s="19" t="inlineStr">
        <is>
          <t>Control of Asbestos Regulations 2012</t>
        </is>
      </c>
      <c r="B22" s="19" t="inlineStr">
        <is>
          <t>Older building fabric, roof void, ceiling work</t>
        </is>
      </c>
      <c r="C22" s="38" t="inlineStr">
        <is>
          <t>NOT referenced</t>
        </is>
      </c>
    </row>
    <row r="23">
      <c r="A23" s="19" t="inlineStr">
        <is>
          <t>Pressure Systems Safety Regulations 2000</t>
        </is>
      </c>
      <c r="B23" s="19" t="inlineStr">
        <is>
          <t>Tank/kettletank/boiler work</t>
        </is>
      </c>
      <c r="C23" s="38" t="inlineStr">
        <is>
          <t>NOT referenced</t>
        </is>
      </c>
    </row>
    <row r="24">
      <c r="A24" s="28" t="inlineStr">
        <is>
          <t>Personal Protective Equipment at Work Regulations 1992</t>
        </is>
      </c>
      <c r="B24" s="28" t="inlineStr">
        <is>
          <t>All PPE requirements across every RAMS</t>
        </is>
      </c>
      <c r="C24" s="41" t="inlineStr">
        <is>
          <t>Strongly referenced throughout</t>
        </is>
      </c>
    </row>
  </sheetData>
  <autoFilter ref="A4:C24"/>
  <mergeCells count="2">
    <mergeCell ref="A1:D1"/>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26" customWidth="1" min="4" max="4"/>
    <col width="34" customWidth="1" min="5" max="5"/>
    <col width="32" customWidth="1" min="6" max="6"/>
    <col width="42" customWidth="1" min="7" max="7"/>
    <col width="32" customWidth="1" min="8" max="8"/>
    <col width="26" customWidth="1" min="9" max="9"/>
    <col width="30" customWidth="1" min="10" max="10"/>
    <col width="26" customWidth="1" min="11" max="11"/>
  </cols>
  <sheetData>
    <row r="1" ht="26" customHeight="1">
      <c r="A1" s="17" t="inlineStr">
        <is>
          <t>COSHH Register — Full Assessment Detail</t>
        </is>
      </c>
    </row>
    <row r="2" ht="18" customHeight="1">
      <c r="A2" s="18" t="inlineStr">
        <is>
          <t>Every current RAMS marks COSHH as 'NO' with zero attachments. Full HSE-style assessment for every substance realistically in scope, ready to attach to the next RAMS revision.</t>
        </is>
      </c>
    </row>
    <row r="4" ht="32" customHeight="1">
      <c r="A4" s="1" t="inlineStr">
        <is>
          <t>Substance</t>
        </is>
      </c>
      <c r="B4" s="1" t="inlineStr">
        <is>
          <t>Used In / Activity</t>
        </is>
      </c>
      <c r="C4" s="1" t="inlineStr">
        <is>
          <t>GHS Classification</t>
        </is>
      </c>
      <c r="D4" s="1" t="inlineStr">
        <is>
          <t>Exposure Route(s)</t>
        </is>
      </c>
      <c r="E4" s="1" t="inlineStr">
        <is>
          <t>Health Effects</t>
        </is>
      </c>
      <c r="F4" s="1" t="inlineStr">
        <is>
          <t>Workplace Exposure Limit (WEL)</t>
        </is>
      </c>
      <c r="G4" s="1" t="inlineStr">
        <is>
          <t>Required Controls / PPE</t>
        </is>
      </c>
      <c r="H4" s="1" t="inlineStr">
        <is>
          <t>First Aid</t>
        </is>
      </c>
      <c r="I4" s="1" t="inlineStr">
        <is>
          <t>Storage Requirements</t>
        </is>
      </c>
      <c r="J4" s="1" t="inlineStr">
        <is>
          <t>Disposal</t>
        </is>
      </c>
      <c r="K4" s="1" t="inlineStr">
        <is>
          <t>Health Surveillance Needed?</t>
        </is>
      </c>
    </row>
    <row r="5">
      <c r="A5" s="2" t="inlineStr">
        <is>
          <t>Threadlocker / thread sealant (anaerobic type)</t>
        </is>
      </c>
      <c r="B5" s="2" t="inlineStr">
        <is>
          <t>Mechanical fixing across all M&amp;E jobs</t>
        </is>
      </c>
      <c r="C5" s="2" t="inlineStr">
        <is>
          <t>Irritant (Xi), Flammable (uncured liquid)</t>
        </is>
      </c>
      <c r="D5" s="2" t="inlineStr">
        <is>
          <t>Skin contact, inhalation of vapour (uncured)</t>
        </is>
      </c>
      <c r="E5" s="2" t="inlineStr">
        <is>
          <t>Skin/eye irritation, mild respiratory irritation if vapour inhaled in confined space</t>
        </is>
      </c>
      <c r="F5" s="2" t="inlineStr">
        <is>
          <t>No specific WEL — control via adequate ventilation and PPE</t>
        </is>
      </c>
      <c r="G5" s="2" t="inlineStr">
        <is>
          <t>Nitrile gloves, safety glasses. Use in ventilated area. Keep away from ignition sources uncured.</t>
        </is>
      </c>
      <c r="H5" s="2" t="inlineStr">
        <is>
          <t>Skin: wash with soap and water. Eyes: irrigate 15 min, seek medical advice if irritation persists.</t>
        </is>
      </c>
      <c r="I5" s="2" t="inlineStr">
        <is>
          <t>Sealed container, cool dry area, away from oxidisers</t>
        </is>
      </c>
      <c r="J5" s="2" t="inlineStr">
        <is>
          <t>Empty containers via general waste; part-used per manufacturer SDS</t>
        </is>
      </c>
      <c r="K5" s="2" t="inlineStr">
        <is>
          <t>No</t>
        </is>
      </c>
    </row>
    <row r="6">
      <c r="A6" s="2" t="inlineStr">
        <is>
          <t>General purpose lubricant/degreaser (aerosol, e.g. WD40-type)</t>
        </is>
      </c>
      <c r="B6" s="2" t="inlineStr">
        <is>
          <t>General maintenance, all jobs</t>
        </is>
      </c>
      <c r="C6" s="2" t="inlineStr">
        <is>
          <t>Flammable aerosol (Category 1), Eye irritant</t>
        </is>
      </c>
      <c r="D6" s="2" t="inlineStr">
        <is>
          <t>Inhalation of aerosol/vapour, eye contact</t>
        </is>
      </c>
      <c r="E6" s="2" t="inlineStr">
        <is>
          <t>Eye/respiratory irritation, dizziness with prolonged inhalation in unventilated space</t>
        </is>
      </c>
      <c r="F6" s="2" t="inlineStr">
        <is>
          <t>No specific WEL for mixture — control to below odour/irritation threshold via ventilation</t>
        </is>
      </c>
      <c r="G6" s="2" t="inlineStr">
        <is>
          <t>Eye protection, use in ventilated area, no smoking/naked flame nearby. Food-grade (NSF H1) variant mandatory in production zones.</t>
        </is>
      </c>
      <c r="H6" s="2" t="inlineStr">
        <is>
          <t>Eyes: irrigate 15 min. Inhalation: move to fresh air, seek advice if symptoms persist.</t>
        </is>
      </c>
      <c r="I6" s="2" t="inlineStr">
        <is>
          <t>Away from heat sources and direct sunlight, upright storage</t>
        </is>
      </c>
      <c r="J6" s="2" t="inlineStr">
        <is>
          <t>Empty aerosol cans via approved metal recycling — never puncture/burn</t>
        </is>
      </c>
      <c r="K6" s="2" t="inlineStr">
        <is>
          <t>No</t>
        </is>
      </c>
    </row>
    <row r="7">
      <c r="A7" s="19" t="inlineStr">
        <is>
          <t>Welding fume (TIG/MIG — stainless &amp; mild steel)</t>
        </is>
      </c>
      <c r="B7" s="19" t="inlineStr">
        <is>
          <t>Cranswick Lazenby TIG welding in roof void</t>
        </is>
      </c>
      <c r="C7" s="38" t="inlineStr">
        <is>
          <t>Carcinogenic (manganese/chromium VI fume, Category 1B per HSE 2019 reclassification)</t>
        </is>
      </c>
      <c r="D7" s="19" t="inlineStr">
        <is>
          <t>Inhalation</t>
        </is>
      </c>
      <c r="E7" s="19" t="inlineStr">
        <is>
          <t>Metal fume fever, occupational asthma, long-term lung disease, chromium VI is a known carcinogen</t>
        </is>
      </c>
      <c r="F7" s="19" t="inlineStr">
        <is>
          <t>WEL applies — see HSE EH40; LEV required, exposure to be reduced to as low as reasonably practicable</t>
        </is>
      </c>
      <c r="G7" s="19" t="inlineStr">
        <is>
          <t>LEV or suitable RPE (minimum FFP3 or powered air-fed if LEV impractical), welding screens, fume extraction at source. This substance was reclassified in 2019 — general ventilation alone is NOT sufficient per HSE guidance.</t>
        </is>
      </c>
      <c r="H7" s="19" t="inlineStr">
        <is>
          <t>Move to fresh air, seek medical advice if breathing difficulty persists</t>
        </is>
      </c>
      <c r="I7" s="19" t="inlineStr">
        <is>
          <t>N/A — generated at point of work, not stored</t>
        </is>
      </c>
      <c r="J7" s="19" t="inlineStr">
        <is>
          <t>N/A — fume extracted via LEV, filters disposed per manufacturer guidance</t>
        </is>
      </c>
      <c r="K7" s="19" t="inlineStr">
        <is>
          <t>YES — lung function monitoring recommended for regular welders</t>
        </is>
      </c>
    </row>
    <row r="8">
      <c r="A8" s="2" t="inlineStr">
        <is>
          <t>Refrigerant gas (ammonia R717 / CO2 / F-Gas blends)</t>
        </is>
      </c>
      <c r="B8" s="2" t="inlineStr">
        <is>
          <t>RO room works, tank relocation, kettletank removal (inferred process refrigeration)</t>
        </is>
      </c>
      <c r="C8" s="2" t="inlineStr">
        <is>
          <t>Toxic (ammonia — Category 3), Asphyxiant (CO2), Pressurised gas</t>
        </is>
      </c>
      <c r="D8" s="2" t="inlineStr">
        <is>
          <t>Inhalation, skin/eye contact with liquid phase (cold burn)</t>
        </is>
      </c>
      <c r="E8" s="2" t="inlineStr">
        <is>
          <t>Ammonia: respiratory tract burns, pulmonary oedema at high concentration, fatal in confined space. CO2: asphyxiation, unconsciousness.</t>
        </is>
      </c>
      <c r="F8" s="2" t="inlineStr">
        <is>
          <t>Ammonia WEL: 25 ppm TWA / 35 ppm STEL (EH40). CO2 WEL: 5000ppm TWA</t>
        </is>
      </c>
      <c r="G8" s="2" t="inlineStr">
        <is>
          <t>Gas detection before and during work, F-Gas certified engineer only, PPE incl. gas-tight goggles and gloves rated for refrigerant contact, emergency escape breathing apparatus available</t>
        </is>
      </c>
      <c r="H8" s="2" t="inlineStr">
        <is>
          <t>Move to fresh air immediately, ammonia contact: irrigate skin/eyes 20+ min, seek emergency medical attention</t>
        </is>
      </c>
      <c r="I8" s="2" t="inlineStr">
        <is>
          <t>N/A — contained within sealed plant systems</t>
        </is>
      </c>
      <c r="J8" s="2" t="inlineStr">
        <is>
          <t>Recovered via certified refrigerant recovery unit — never vented to atmosphere</t>
        </is>
      </c>
      <c r="K8" s="2" t="inlineStr">
        <is>
          <t>YES — respiratory health surveillance for regular refrigerant workers</t>
        </is>
      </c>
    </row>
    <row r="9">
      <c r="A9" s="2" t="inlineStr">
        <is>
          <t>Pipe jointing compound / brazing flux</t>
        </is>
      </c>
      <c r="B9" s="2" t="inlineStr">
        <is>
          <t>Pipe changeover work (Cranswick, Foodclean)</t>
        </is>
      </c>
      <c r="C9" s="2" t="inlineStr">
        <is>
          <t>Corrosive/Irritant (Xi/C depending on product), some fluxes contain fluorides</t>
        </is>
      </c>
      <c r="D9" s="2" t="inlineStr">
        <is>
          <t>Skin contact, inhalation of flux fume during brazing</t>
        </is>
      </c>
      <c r="E9" s="2" t="inlineStr">
        <is>
          <t>Skin/eye burns from concentrate, respiratory irritation from flux fume when heated</t>
        </is>
      </c>
      <c r="F9" s="2" t="inlineStr">
        <is>
          <t>No specific WEL for most jointing compounds — control via PPE and ventilation</t>
        </is>
      </c>
      <c r="G9" s="2" t="inlineStr">
        <is>
          <t>Gloves, eye protection, RPE during heating/brazing (flux fume), ventilated work area</t>
        </is>
      </c>
      <c r="H9" s="2" t="inlineStr">
        <is>
          <t>Skin: wash immediately. Eyes: irrigate 15 min and seek medical advice.</t>
        </is>
      </c>
      <c r="I9" s="2" t="inlineStr">
        <is>
          <t>Sealed container, cool dry area</t>
        </is>
      </c>
      <c r="J9" s="2" t="inlineStr">
        <is>
          <t>Small quantities via general waste per manufacturer SDS</t>
        </is>
      </c>
      <c r="K9" s="2" t="inlineStr">
        <is>
          <t>No</t>
        </is>
      </c>
    </row>
    <row r="10">
      <c r="A10" s="2" t="inlineStr">
        <is>
          <t>Client-supplied cleaning/sanitising chemicals</t>
        </is>
      </c>
      <c r="B10" s="2" t="inlineStr">
        <is>
          <t>Area clean-down before/after work in production zones</t>
        </is>
      </c>
      <c r="C10" s="2" t="inlineStr">
        <is>
          <t>Varies by product — commonly Corrosive (C) or Irritant (Xi)</t>
        </is>
      </c>
      <c r="D10" s="2" t="inlineStr">
        <is>
          <t>Skin/eye contact, inhalation of vapour/mist</t>
        </is>
      </c>
      <c r="E10" s="2" t="inlineStr">
        <is>
          <t>Chemical burns, respiratory irritation — varies significantly by product</t>
        </is>
      </c>
      <c r="F10" s="2" t="inlineStr">
        <is>
          <t>Per site's own COSHH assessment — MUST be obtained before use, not assumed</t>
        </is>
      </c>
      <c r="G10" s="2" t="inlineStr">
        <is>
          <t>Site-specific COSHH sheet and SDS to be obtained from client before use; PPE per that assessment</t>
        </is>
      </c>
      <c r="H10" s="2" t="inlineStr">
        <is>
          <t>Per client SDS — to be reviewed and briefed before task starts</t>
        </is>
      </c>
      <c r="I10" s="2" t="inlineStr">
        <is>
          <t>Per client site storage rules</t>
        </is>
      </c>
      <c r="J10" s="2" t="inlineStr">
        <is>
          <t>Per client site procedure — FESS does not bring or dispose of these</t>
        </is>
      </c>
      <c r="K10" s="2" t="inlineStr">
        <is>
          <t>Per client assessment</t>
        </is>
      </c>
    </row>
    <row r="11">
      <c r="A11" s="2" t="inlineStr">
        <is>
          <t>Cutting fluid / coolant (metal cutting)</t>
        </is>
      </c>
      <c r="B11" s="2" t="inlineStr">
        <is>
          <t>Stainless steel cutting with angle grinder</t>
        </is>
      </c>
      <c r="C11" s="2" t="inlineStr">
        <is>
          <t>Irritant, potential skin sensitiser with repeated/prolonged contact</t>
        </is>
      </c>
      <c r="D11" s="2" t="inlineStr">
        <is>
          <t>Skin contact, inhalation of mist</t>
        </is>
      </c>
      <c r="E11" s="2" t="inlineStr">
        <is>
          <t>Dermatitis with repeated contact, respiratory irritation from mist</t>
        </is>
      </c>
      <c r="F11" s="2" t="inlineStr">
        <is>
          <t>No specific WEL — control via minimising mist generation and PPE</t>
        </is>
      </c>
      <c r="G11" s="2" t="inlineStr">
        <is>
          <t>Gloves, eye protection, barrier cream for repeated-exposure operatives</t>
        </is>
      </c>
      <c r="H11" s="2" t="inlineStr">
        <is>
          <t>Skin: wash with soap and water. Eyes: irrigate 15 min.</t>
        </is>
      </c>
      <c r="I11" s="2" t="inlineStr">
        <is>
          <t>Sealed container, cool area</t>
        </is>
      </c>
      <c r="J11" s="2" t="inlineStr">
        <is>
          <t>Per local authority trade waste rules — do not pour to drain</t>
        </is>
      </c>
      <c r="K11" s="2" t="inlineStr">
        <is>
          <t>Recommend skin surveillance for operatives with frequent/prolonged contact</t>
        </is>
      </c>
    </row>
    <row r="12">
      <c r="A12" s="2" t="inlineStr">
        <is>
          <t>Metal swarf / dust (stainless &amp; mild steel cutting/grinding)</t>
        </is>
      </c>
      <c r="B12" s="2" t="inlineStr">
        <is>
          <t>All cutting/drilling/grinding activity</t>
        </is>
      </c>
      <c r="C12" s="2" t="inlineStr">
        <is>
          <t>Physical hazard — not a GHS-classified substance, but respirable fraction relevant</t>
        </is>
      </c>
      <c r="D12" s="2" t="inlineStr">
        <is>
          <t>Inhalation of fine fraction, skin/eye contact (sharp particles)</t>
        </is>
      </c>
      <c r="E12" s="2" t="inlineStr">
        <is>
          <t>Respiratory irritation from fine dust, cuts/eye injury from swarf</t>
        </is>
      </c>
      <c r="F12" s="2" t="inlineStr">
        <is>
          <t>Control to as low as reasonably practicable — no specific WEL for inert particulate at these quantities</t>
        </is>
      </c>
      <c r="G12" s="2" t="inlineStr">
        <is>
          <t>RPE (dust mask, minimum FFP2), eye protection, extraction at source where practical, gloves for swarf handling</t>
        </is>
      </c>
      <c r="H12" s="2" t="inlineStr">
        <is>
          <t>Eyes: irrigate and seek medical advice if metal particle embedded. Skin: treat cuts as standard first aid.</t>
        </is>
      </c>
      <c r="I12" s="2" t="inlineStr">
        <is>
          <t>N/A — generated at point of work</t>
        </is>
      </c>
      <c r="J12" s="2" t="inlineStr">
        <is>
          <t>Swept/vacuumed, disposed as scrap metal or general waste per site rules</t>
        </is>
      </c>
      <c r="K12" s="2" t="inlineStr">
        <is>
          <t>No, unless high-frequency stainless steel work (consider respiratory surveillance)</t>
        </is>
      </c>
    </row>
    <row r="13">
      <c r="A13" s="19" t="inlineStr">
        <is>
          <t>Insulation / lagging materials on older pipework</t>
        </is>
      </c>
      <c r="B13" s="19" t="inlineStr">
        <is>
          <t>Tank relocation, kettletank removal, older site fabric (Scunthorpe FP1 area)</t>
        </is>
      </c>
      <c r="C13" s="38" t="inlineStr">
        <is>
          <t>POTENTIALLY ASBESTOS-CONTAINING — treat as such until survey confirms otherwise</t>
        </is>
      </c>
      <c r="D13" s="19" t="inlineStr">
        <is>
          <t>Inhalation of fibres if disturbed</t>
        </is>
      </c>
      <c r="E13" s="19" t="inlineStr">
        <is>
          <t>Asbestosis, mesothelioma, lung cancer — long latency, no safe exposure level</t>
        </is>
      </c>
      <c r="F13" s="19" t="inlineStr">
        <is>
          <t>Control limit 0.1 fibres/cm3 (4-hour TWA) per Control of Asbestos Regulations 2012</t>
        </is>
      </c>
      <c r="G13" s="19" t="inlineStr">
        <is>
          <t>STOP WORK if suspected — do not disturb. Licensed asbestos removal contractor required if confirmed. Site Asbestos Management Survey must be checked BEFORE this work starts.</t>
        </is>
      </c>
      <c r="H13" s="19" t="inlineStr">
        <is>
          <t>Do not attempt first aid response beyond evacuating area and preventing further disturbance — call emergency services if fibres are believed released</t>
        </is>
      </c>
      <c r="I13" s="19" t="inlineStr">
        <is>
          <t>N/A — must not be disturbed or moved by FESS operatives</t>
        </is>
      </c>
      <c r="J13" s="19" t="inlineStr">
        <is>
          <t>N/A — licensed contractor only, never general waste</t>
        </is>
      </c>
      <c r="K13" s="19" t="inlineStr">
        <is>
          <t>YES — mandatory for any operative who may have been exposed, plus HSE notification (RIDDOR) if uncontrolled release occurs</t>
        </is>
      </c>
    </row>
  </sheetData>
  <autoFilter ref="A4:K13"/>
  <mergeCells count="2">
    <mergeCell ref="A2:K2"/>
    <mergeCell ref="A1:K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A1" sqref="A1"/>
    </sheetView>
  </sheetViews>
  <sheetFormatPr baseColWidth="8" defaultRowHeight="15"/>
  <cols>
    <col width="28" customWidth="1" min="1" max="1"/>
    <col width="12" customWidth="1" min="2" max="2"/>
    <col width="32" customWidth="1" min="3" max="3"/>
    <col width="30" customWidth="1" min="4" max="4"/>
    <col width="34" customWidth="1" min="5" max="5"/>
    <col width="32" customWidth="1" min="6" max="6"/>
    <col width="40" customWidth="1" min="7" max="7"/>
    <col width="42" customWidth="1" min="8" max="8"/>
  </cols>
  <sheetData>
    <row r="1" ht="26" customHeight="1">
      <c r="A1" s="17" t="inlineStr">
        <is>
          <t>Permit to Work — Full Lifecycle Detail</t>
        </is>
      </c>
    </row>
    <row r="2" ht="18" customHeight="1">
      <c r="A2" s="18" t="inlineStr">
        <is>
          <t>Every permit type FESS needs, with issuer, validity, underpinning RA, and escalation procedure — ready for the MySafeOps Permit to Work module</t>
        </is>
      </c>
    </row>
    <row r="4" ht="32" customHeight="1">
      <c r="A4" s="1" t="inlineStr">
        <is>
          <t>Permit Type</t>
        </is>
      </c>
      <c r="B4" s="1" t="inlineStr">
        <is>
          <t>Status</t>
        </is>
      </c>
      <c r="C4" s="1" t="inlineStr">
        <is>
          <t>Authorised Issuer</t>
        </is>
      </c>
      <c r="D4" s="1" t="inlineStr">
        <is>
          <t>Typical Validity / Duration</t>
        </is>
      </c>
      <c r="E4" s="1" t="inlineStr">
        <is>
          <t>Renewal Trigger</t>
        </is>
      </c>
      <c r="F4" s="1" t="inlineStr">
        <is>
          <t>Underpinning RA / RAMS Reference</t>
        </is>
      </c>
      <c r="G4" s="1" t="inlineStr">
        <is>
          <t>Sign-Off Chain</t>
        </is>
      </c>
      <c r="H4" s="1" t="inlineStr">
        <is>
          <t>Escalation If Conditions Change</t>
        </is>
      </c>
    </row>
    <row r="5">
      <c r="A5" s="28" t="inlineStr">
        <is>
          <t>Hot Work Permit</t>
        </is>
      </c>
      <c r="B5" s="35" t="inlineStr">
        <is>
          <t>COVERED</t>
        </is>
      </c>
      <c r="C5" s="28" t="inlineStr">
        <is>
          <t>Site Permit Controller (client-side) + FESS Lead Engineer</t>
        </is>
      </c>
      <c r="D5" s="28" t="inlineStr">
        <is>
          <t>Single shift, expires at end of working day</t>
        </is>
      </c>
      <c r="E5" s="28" t="inlineStr">
        <is>
          <t>New permit required each new shift/day, or if scope of work changes</t>
        </is>
      </c>
      <c r="F5" s="28" t="inlineStr">
        <is>
          <t>Cranswick TIG welding RA (existing)</t>
        </is>
      </c>
      <c r="G5" s="28" t="inlineStr">
        <is>
          <t>Issuer signs before work starts; FESS Lead Engineer countersigns; both sign at completion</t>
        </is>
      </c>
      <c r="H5" s="28" t="inlineStr">
        <is>
          <t>Fire watch stands down only after cool-down period confirmed; any fire alarm activation stops work immediately and permit is voided</t>
        </is>
      </c>
    </row>
    <row r="6">
      <c r="A6" s="2" t="inlineStr">
        <is>
          <t>General Permit to Work (currently narrative only)</t>
        </is>
      </c>
      <c r="B6" s="23" t="inlineStr">
        <is>
          <t>PARTIAL</t>
        </is>
      </c>
      <c r="C6" s="2" t="inlineStr">
        <is>
          <t>Site Permit Controller</t>
        </is>
      </c>
      <c r="D6" s="2" t="inlineStr">
        <is>
          <t>Currently undefined — no standalone certificate exists</t>
        </is>
      </c>
      <c r="E6" s="2" t="inlineStr">
        <is>
          <t>N/A until formalised</t>
        </is>
      </c>
      <c r="F6" s="2" t="inlineStr">
        <is>
          <t>Referenced narratively across most method statements</t>
        </is>
      </c>
      <c r="G6" s="2" t="inlineStr">
        <is>
          <t>Currently: verbal/method statement only, no tracked signature chain</t>
        </is>
      </c>
      <c r="H6" s="2" t="inlineStr">
        <is>
          <t>Recommend: formalise as tracked digital permit with defined validity and renewal in MySafeOps</t>
        </is>
      </c>
    </row>
    <row r="7">
      <c r="A7" s="19" t="inlineStr">
        <is>
          <t>Confined Space Entry Permit</t>
        </is>
      </c>
      <c r="B7" s="21" t="inlineStr">
        <is>
          <t>MISSING</t>
        </is>
      </c>
      <c r="C7" s="19" t="inlineStr">
        <is>
          <t>Confined Space Supervisor (competent person) + Site Permit Controller</t>
        </is>
      </c>
      <c r="D7" s="19" t="inlineStr">
        <is>
          <t>Single entry / single shift, re-issued for each entry</t>
        </is>
      </c>
      <c r="E7" s="19" t="inlineStr">
        <is>
          <t>Atmosphere re-tested and permit re-validated if entry is interrupted for any reason</t>
        </is>
      </c>
      <c r="F7" s="19" t="inlineStr">
        <is>
          <t>New RA Rows sheet — Row 9 (confined space entry)</t>
        </is>
      </c>
      <c r="G7" s="19" t="inlineStr">
        <is>
          <t>Supervisor signs before entry; top-man confirms continuous attendance; supervisor signs on exit confirming all persons out</t>
        </is>
      </c>
      <c r="H7" s="19" t="inlineStr">
        <is>
          <t>Any adverse atmosphere reading = immediate evacuation and permit cancelled; work does not resume until re-tested and re-issued</t>
        </is>
      </c>
    </row>
    <row r="8">
      <c r="A8" s="19" t="inlineStr">
        <is>
          <t>Isolation / Lock-Out-Tag-Out (LOTO) Permit</t>
        </is>
      </c>
      <c r="B8" s="21" t="inlineStr">
        <is>
          <t>MISSING</t>
        </is>
      </c>
      <c r="C8" s="19" t="inlineStr">
        <is>
          <t>Competent Electrical/Mechanical Person + Site Engineer</t>
        </is>
      </c>
      <c r="D8" s="19" t="inlineStr">
        <is>
          <t>Duration of the isolation — released only on completion of work</t>
        </is>
      </c>
      <c r="E8" s="19" t="inlineStr">
        <is>
          <t>Any attempt to interrupt or bypass isolation invalidates the permit immediately</t>
        </is>
      </c>
      <c r="F8" s="19" t="inlineStr">
        <is>
          <t>Isolation of electrical supplies RA (existing, needs permit wrapper)</t>
        </is>
      </c>
      <c r="G8" s="19" t="inlineStr">
        <is>
          <t>Isolating person signs and applies personal lock/tag; only that person removes it on completion</t>
        </is>
      </c>
      <c r="H8" s="19" t="inlineStr">
        <is>
          <t>If isolation point is found disturbed or unverified at any point, treat as live until re-proven dead by a competent person</t>
        </is>
      </c>
    </row>
    <row r="9">
      <c r="A9" s="19" t="inlineStr">
        <is>
          <t>Working at Height Permit</t>
        </is>
      </c>
      <c r="B9" s="21" t="inlineStr">
        <is>
          <t>MISSING</t>
        </is>
      </c>
      <c r="C9" s="19" t="inlineStr">
        <is>
          <t>Site Supervisor + FESS Lead Engineer</t>
        </is>
      </c>
      <c r="D9" s="19" t="inlineStr">
        <is>
          <t>Single shift</t>
        </is>
      </c>
      <c r="E9" s="19" t="inlineStr">
        <is>
          <t>Re-issued if access equipment, weather, or work location changes</t>
        </is>
      </c>
      <c r="F9" s="19" t="inlineStr">
        <is>
          <t>Working at heights RA + IPAF/PASMA quals (existing)</t>
        </is>
      </c>
      <c r="G9" s="19" t="inlineStr">
        <is>
          <t>Supervisor confirms equipment inspected/in-date before signing; operative confirms competency held</t>
        </is>
      </c>
      <c r="H9" s="19" t="inlineStr">
        <is>
          <t>Wind speed, rain, or equipment defect found mid-task = work stops, permit suspended until conditions reassessed</t>
        </is>
      </c>
    </row>
    <row r="10">
      <c r="A10" s="19" t="inlineStr">
        <is>
          <t>Cold Work Permit</t>
        </is>
      </c>
      <c r="B10" s="21" t="inlineStr">
        <is>
          <t>MISSING</t>
        </is>
      </c>
      <c r="C10" s="19" t="inlineStr">
        <is>
          <t>Site Supervisor</t>
        </is>
      </c>
      <c r="D10" s="19" t="inlineStr">
        <is>
          <t>Per shift, with maximum continuous exposure time stated on the permit itself</t>
        </is>
      </c>
      <c r="E10" s="19" t="inlineStr">
        <is>
          <t>Re-issued each shift; exposure time resets after documented warm-up break</t>
        </is>
      </c>
      <c r="F10" s="19" t="inlineStr">
        <is>
          <t>New RA Rows sheet — Row 12 (cold store work)</t>
        </is>
      </c>
      <c r="G10" s="19" t="inlineStr">
        <is>
          <t>Supervisor signs before entry, logs entry/exit time against maximum exposure limit</t>
        </is>
      </c>
      <c r="H10" s="19" t="inlineStr">
        <is>
          <t>Any signs of cold stress in an operative = immediate withdrawal from cold environment, permit suspended</t>
        </is>
      </c>
    </row>
    <row r="11">
      <c r="A11" s="19" t="inlineStr">
        <is>
          <t>Contractor Site Induction / Sign-In</t>
        </is>
      </c>
      <c r="B11" s="21" t="inlineStr">
        <is>
          <t>MISSING</t>
        </is>
      </c>
      <c r="C11" s="19" t="inlineStr">
        <is>
          <t>Site H&amp;S / Gatehouse</t>
        </is>
      </c>
      <c r="D11" s="19" t="inlineStr">
        <is>
          <t>Typically valid for the duration of the visit or per site policy (some require daily sign-in)</t>
        </is>
      </c>
      <c r="E11" s="19" t="inlineStr">
        <is>
          <t>New induction required if more than a defined period has elapsed since last visit (site-dependent)</t>
        </is>
      </c>
      <c r="F11" s="19" t="inlineStr">
        <is>
          <t>N/A — administrative control, not RA-specific</t>
        </is>
      </c>
      <c r="G11" s="19" t="inlineStr">
        <is>
          <t>Operative signs on arrival; site records departure</t>
        </is>
      </c>
      <c r="H11" s="19" t="inlineStr">
        <is>
          <t>Any operative without a current induction is not permitted on site — no exceptions</t>
        </is>
      </c>
    </row>
    <row r="12">
      <c r="A12" s="19" t="inlineStr">
        <is>
          <t>Line Clearance / Product Isolation Permit</t>
        </is>
      </c>
      <c r="B12" s="21" t="inlineStr">
        <is>
          <t>MISSING</t>
        </is>
      </c>
      <c r="C12" s="19" t="inlineStr">
        <is>
          <t>Site QA/Production Supervisor + FESS Lead Engineer</t>
        </is>
      </c>
      <c r="D12" s="19" t="inlineStr">
        <is>
          <t>Duration of the overhead/near-product work only</t>
        </is>
      </c>
      <c r="E12" s="19" t="inlineStr">
        <is>
          <t>Re-issued if work extends beyond the cleared period or product line restarts</t>
        </is>
      </c>
      <c r="F12" s="19" t="inlineStr">
        <is>
          <t>New RA Rows sheet — Row 2 (working above open product lines)</t>
        </is>
      </c>
      <c r="G12" s="19" t="inlineStr">
        <is>
          <t>QA Supervisor confirms line clear/covered before signing; FESS confirms area clean before sign-off to restart line</t>
        </is>
      </c>
      <c r="H12" s="19" t="inlineStr">
        <is>
          <t>Any product exposure incident during work = immediate stop, QA notified, product quarantine decision made by client, not FESS</t>
        </is>
      </c>
    </row>
    <row r="13">
      <c r="A13" s="19" t="inlineStr">
        <is>
          <t>Lifting Operation Permit (LOLER-tied)</t>
        </is>
      </c>
      <c r="B13" s="21" t="inlineStr">
        <is>
          <t>MISSING</t>
        </is>
      </c>
      <c r="C13" s="19" t="inlineStr">
        <is>
          <t>Appointed Person (lift planning) + Site Supervisor</t>
        </is>
      </c>
      <c r="D13" s="19" t="inlineStr">
        <is>
          <t>Duration of the lift/relocation operation</t>
        </is>
      </c>
      <c r="E13" s="19" t="inlineStr">
        <is>
          <t>New lift plan and permit required for each distinct lift, even on the same job</t>
        </is>
      </c>
      <c r="F13" s="19" t="inlineStr">
        <is>
          <t>New RA Rows sheet — Row 13 (lifting/relocating machinery)</t>
        </is>
      </c>
      <c r="G13" s="19" t="inlineStr">
        <is>
          <t>Appointed Person signs off lift plan before work; slinger/signaller and crane/hoist operator confirm competency held</t>
        </is>
      </c>
      <c r="H13" s="19" t="inlineStr">
        <is>
          <t>Any change to load weight, path, or ground conditions invalidates the existing lift plan — new plan required before continuing</t>
        </is>
      </c>
    </row>
    <row r="14">
      <c r="A14" s="24" t="inlineStr">
        <is>
          <t>Excavation Permit</t>
        </is>
      </c>
      <c r="B14" s="36" t="inlineStr">
        <is>
          <t>N/A — confirm scope</t>
        </is>
      </c>
      <c r="C14" s="24" t="inlineStr">
        <is>
          <t>Principal Contractor (under CDM) + Site Supervisor</t>
        </is>
      </c>
      <c r="D14" s="24" t="inlineStr">
        <is>
          <t>Duration of the excavation work</t>
        </is>
      </c>
      <c r="E14" s="24" t="inlineStr">
        <is>
          <t>Re-issued if excavation depth/location changes or work is left open overnight</t>
        </is>
      </c>
      <c r="F14" s="24" t="inlineStr">
        <is>
          <t>To be built only if FESS CDM projects include groundworks</t>
        </is>
      </c>
      <c r="G14" s="24" t="inlineStr">
        <is>
          <t>Principal Contractor signs off before breaking ground, confirming services located/marked</t>
        </is>
      </c>
      <c r="H14" s="24" t="inlineStr">
        <is>
          <t>Any unidentified service struck = immediate stop, area made safe, utility company notified where relevant</t>
        </is>
      </c>
    </row>
  </sheetData>
  <autoFilter ref="A4:H14"/>
  <mergeCells count="2">
    <mergeCell ref="A1:I1"/>
    <mergeCell ref="A2:I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36" customWidth="1" min="1" max="1"/>
    <col width="26" customWidth="1" min="2" max="2"/>
    <col width="44" customWidth="1" min="3" max="3"/>
    <col width="34" customWidth="1" min="4" max="4"/>
    <col width="36" customWidth="1" min="5" max="5"/>
  </cols>
  <sheetData>
    <row r="1" ht="26" customHeight="1">
      <c r="A1" s="17" t="inlineStr">
        <is>
          <t>Statutory Inspection &amp; Examination Register</t>
        </is>
      </c>
    </row>
    <row r="2" ht="18" customHeight="1">
      <c r="A2" s="18" t="inlineStr">
        <is>
          <t>Legal inspection frequencies for equipment FESS uses or installs — none currently tracked in any of the 22 documents</t>
        </is>
      </c>
    </row>
    <row r="4" ht="32" customHeight="1">
      <c r="A4" s="1" t="inlineStr">
        <is>
          <t>Equipment / System</t>
        </is>
      </c>
      <c r="B4" s="1" t="inlineStr">
        <is>
          <t>Inspection Type</t>
        </is>
      </c>
      <c r="C4" s="1" t="inlineStr">
        <is>
          <t>Statutory Frequency</t>
        </is>
      </c>
      <c r="D4" s="1" t="inlineStr">
        <is>
          <t>Regulation</t>
        </is>
      </c>
      <c r="E4" s="1" t="inlineStr">
        <is>
          <t>Currently Tracked?</t>
        </is>
      </c>
    </row>
    <row r="5">
      <c r="A5" s="19" t="inlineStr">
        <is>
          <t>Lifting equipment (chains, slings, hoists, shackles)</t>
        </is>
      </c>
      <c r="B5" s="19" t="inlineStr">
        <is>
          <t>Thorough Examination</t>
        </is>
      </c>
      <c r="C5" s="19" t="inlineStr">
        <is>
          <t>6 months (equipment for lifting persons) / 12 months (other lifting equipment)</t>
        </is>
      </c>
      <c r="D5" s="19" t="inlineStr">
        <is>
          <t>LOLER 1998 Reg 9</t>
        </is>
      </c>
      <c r="E5" s="38" t="inlineStr">
        <is>
          <t>NOT TRACKED</t>
        </is>
      </c>
    </row>
    <row r="6">
      <c r="A6" s="19" t="inlineStr">
        <is>
          <t>Lifting accessories used in machinery relocation</t>
        </is>
      </c>
      <c r="B6" s="19" t="inlineStr">
        <is>
          <t>Thorough Examination</t>
        </is>
      </c>
      <c r="C6" s="19" t="inlineStr">
        <is>
          <t>6 months</t>
        </is>
      </c>
      <c r="D6" s="19" t="inlineStr">
        <is>
          <t>LOLER 1998 Reg 9</t>
        </is>
      </c>
      <c r="E6" s="38" t="inlineStr">
        <is>
          <t>NOT TRACKED</t>
        </is>
      </c>
    </row>
    <row r="7">
      <c r="A7" s="19" t="inlineStr">
        <is>
          <t>MEWPs (scissor lifts, cherry pickers, boom lifts)</t>
        </is>
      </c>
      <c r="B7" s="19" t="inlineStr">
        <is>
          <t>Thorough Examination</t>
        </is>
      </c>
      <c r="C7" s="19" t="inlineStr">
        <is>
          <t>6 months</t>
        </is>
      </c>
      <c r="D7" s="19" t="inlineStr">
        <is>
          <t>LOLER 1998 / PUWER 1998</t>
        </is>
      </c>
      <c r="E7" s="38" t="inlineStr">
        <is>
          <t>NOT TRACKED</t>
        </is>
      </c>
    </row>
    <row r="8">
      <c r="A8" s="2" t="inlineStr">
        <is>
          <t>Portable power tools</t>
        </is>
      </c>
      <c r="B8" s="2" t="inlineStr">
        <is>
          <t>PAT Testing</t>
        </is>
      </c>
      <c r="C8" s="2" t="inlineStr">
        <is>
          <t>3 months (referenced in RAMS text) — verify against actual risk-based interval</t>
        </is>
      </c>
      <c r="D8" s="2" t="inlineStr">
        <is>
          <t>Electricity at Work Regulations 1989</t>
        </is>
      </c>
      <c r="E8" s="37" t="inlineStr">
        <is>
          <t>Referenced narratively, not in a tracked register</t>
        </is>
      </c>
    </row>
    <row r="9">
      <c r="A9" s="19" t="inlineStr">
        <is>
          <t>110V transformers / site electrical equipment</t>
        </is>
      </c>
      <c r="B9" s="19" t="inlineStr">
        <is>
          <t>Visual + electrical inspection</t>
        </is>
      </c>
      <c r="C9" s="19" t="inlineStr">
        <is>
          <t>3 months combined inspection &amp; test (construction/site use category)</t>
        </is>
      </c>
      <c r="D9" s="19" t="inlineStr">
        <is>
          <t>Electricity at Work Regulations 1989</t>
        </is>
      </c>
      <c r="E9" s="38" t="inlineStr">
        <is>
          <t>NOT TRACKED</t>
        </is>
      </c>
    </row>
    <row r="10">
      <c r="A10" s="19" t="inlineStr">
        <is>
          <t>Fixed wiring / distribution boards installed by FESS</t>
        </is>
      </c>
      <c r="B10" s="19" t="inlineStr">
        <is>
          <t>Electrical Installation Condition Report (EICR)</t>
        </is>
      </c>
      <c r="C10" s="19" t="inlineStr">
        <is>
          <t>Per installation type — typically 5 years for industrial, 1 year for construction site supplies</t>
        </is>
      </c>
      <c r="D10" s="19" t="inlineStr">
        <is>
          <t>BS 7671 / EAWR 1989</t>
        </is>
      </c>
      <c r="E10" s="38" t="inlineStr">
        <is>
          <t>NOT TRACKED</t>
        </is>
      </c>
    </row>
    <row r="11">
      <c r="A11" s="2" t="inlineStr">
        <is>
          <t>Ladders and step ladders</t>
        </is>
      </c>
      <c r="B11" s="2" t="inlineStr">
        <is>
          <t>Pre-use check + formal periodic inspection</t>
        </is>
      </c>
      <c r="C11" s="2" t="inlineStr">
        <is>
          <t>Pre-use every time; formal inspection at defined interval per HSE ladder guidance</t>
        </is>
      </c>
      <c r="D11" s="2" t="inlineStr">
        <is>
          <t>Work at Height Regulations 2005</t>
        </is>
      </c>
      <c r="E11" s="37" t="inlineStr">
        <is>
          <t>Pre-use referenced, no formal periodic record</t>
        </is>
      </c>
    </row>
    <row r="12">
      <c r="A12" s="2" t="inlineStr">
        <is>
          <t>Fall arrest harnesses and lanyards</t>
        </is>
      </c>
      <c r="B12" s="2" t="inlineStr">
        <is>
          <t>Thorough Examination</t>
        </is>
      </c>
      <c r="C12" s="2" t="inlineStr">
        <is>
          <t>6 months (or per manufacturer, whichever is more frequent)</t>
        </is>
      </c>
      <c r="D12" s="2" t="inlineStr">
        <is>
          <t>LOLER 1998 / Work at Height Regs 2005</t>
        </is>
      </c>
      <c r="E12" s="37" t="inlineStr">
        <is>
          <t>NOT TRACKED — harness use referenced but not inspection</t>
        </is>
      </c>
    </row>
    <row r="13">
      <c r="A13" s="19" t="inlineStr">
        <is>
          <t>Pressure vessels / boilers (tank/kettletank scope)</t>
        </is>
      </c>
      <c r="B13" s="19" t="inlineStr">
        <is>
          <t>Written Scheme of Examination</t>
        </is>
      </c>
      <c r="C13" s="19" t="inlineStr">
        <is>
          <t>Per written scheme — typically 12-26 months depending on vessel type</t>
        </is>
      </c>
      <c r="D13" s="19" t="inlineStr">
        <is>
          <t>Pressure Systems Safety Regulations 2000</t>
        </is>
      </c>
      <c r="E13" s="38" t="inlineStr">
        <is>
          <t>NOT TRACKED</t>
        </is>
      </c>
    </row>
    <row r="14">
      <c r="A14" s="19" t="inlineStr">
        <is>
          <t>Refrigeration/ammonia plant</t>
        </is>
      </c>
      <c r="B14" s="19" t="inlineStr">
        <is>
          <t>Leak testing &amp; F-Gas compliance check</t>
        </is>
      </c>
      <c r="C14" s="19" t="inlineStr">
        <is>
          <t>Per F-Gas regulation — frequency scales with refrigerant charge size (12/6/3 months)</t>
        </is>
      </c>
      <c r="D14" s="19" t="inlineStr">
        <is>
          <t>F-Gas Regulations (retained EU 517/2014)</t>
        </is>
      </c>
      <c r="E14" s="38" t="inlineStr">
        <is>
          <t>NOT TRACKED</t>
        </is>
      </c>
    </row>
    <row r="15">
      <c r="A15" s="19" t="inlineStr">
        <is>
          <t>Fire extinguishers on FESS work sites/vehicles</t>
        </is>
      </c>
      <c r="B15" s="19" t="inlineStr">
        <is>
          <t>Annual service + monthly visual check</t>
        </is>
      </c>
      <c r="C15" s="19" t="inlineStr">
        <is>
          <t>Monthly visual, annual service by competent person</t>
        </is>
      </c>
      <c r="D15" s="19" t="inlineStr">
        <is>
          <t>Regulatory Reform (Fire Safety) Order 2005</t>
        </is>
      </c>
      <c r="E15" s="38" t="inlineStr">
        <is>
          <t>NOT TRACKED</t>
        </is>
      </c>
    </row>
    <row r="16">
      <c r="A16" s="2" t="inlineStr">
        <is>
          <t>First aid kits/boxes</t>
        </is>
      </c>
      <c r="B16" s="2" t="inlineStr">
        <is>
          <t>Stock check</t>
        </is>
      </c>
      <c r="C16" s="2" t="inlineStr">
        <is>
          <t>Regular check per site policy, no fixed legal interval but must remain adequately stocked</t>
        </is>
      </c>
      <c r="D16" s="2" t="inlineStr">
        <is>
          <t>Health and Safety (First-Aid) Regulations 1981</t>
        </is>
      </c>
      <c r="E16" s="37" t="inlineStr">
        <is>
          <t>Location referenced, stock check not evidenced</t>
        </is>
      </c>
    </row>
    <row r="17">
      <c r="A17" s="2" t="inlineStr">
        <is>
          <t>Gas detection equipment (for confined space/refrigerant work)</t>
        </is>
      </c>
      <c r="B17" s="2" t="inlineStr">
        <is>
          <t>Calibration check</t>
        </is>
      </c>
      <c r="C17" s="2" t="inlineStr">
        <is>
          <t>Per manufacturer — typically before each use plus periodic full calibration (annual)</t>
        </is>
      </c>
      <c r="D17" s="2" t="inlineStr">
        <is>
          <t>Confined Spaces Regs 1997 / general duty of care</t>
        </is>
      </c>
      <c r="E17" s="37" t="inlineStr">
        <is>
          <t>NOT TRACKED — no gas detection referenced at all currently</t>
        </is>
      </c>
    </row>
  </sheetData>
  <autoFilter ref="A4:E17"/>
  <mergeCells count="2">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40" customWidth="1" min="3" max="3"/>
  </cols>
  <sheetData>
    <row r="1" ht="26" customHeight="1">
      <c r="A1" s="17" t="inlineStr">
        <is>
          <t>RIDDOR Reportable Events — Quick Reference</t>
        </is>
      </c>
    </row>
    <row r="2" ht="18" customHeight="1">
      <c r="A2" s="18" t="inlineStr">
        <is>
          <t>Zero RIDDOR reference exists in any of the 22 documents. This maps FESS's actual work activities to reportable event categories.</t>
        </is>
      </c>
    </row>
    <row r="4" ht="32" customHeight="1">
      <c r="A4" s="1" t="inlineStr">
        <is>
          <t>Event Category</t>
        </is>
      </c>
      <c r="B4" s="1" t="inlineStr">
        <is>
          <t>Examples Relevant to FESS's Work</t>
        </is>
      </c>
      <c r="C4" s="1" t="inlineStr">
        <is>
          <t>Reportable To</t>
        </is>
      </c>
    </row>
    <row r="5">
      <c r="A5" s="19" t="inlineStr">
        <is>
          <t>Death or specified injury</t>
        </is>
      </c>
      <c r="B5" s="19" t="inlineStr">
        <is>
          <t>Fall from height (MEWP/ladder work), crush injury during machine lifting, electric shock during isolation work</t>
        </is>
      </c>
      <c r="C5" s="19" t="inlineStr">
        <is>
          <t>HSE — report without delay (by phone for fatalities/specified injuries)</t>
        </is>
      </c>
    </row>
    <row r="6">
      <c r="A6" s="2" t="inlineStr">
        <is>
          <t>Over-7-day incapacitation injury</t>
        </is>
      </c>
      <c r="B6" s="2" t="inlineStr">
        <is>
          <t>Manual handling injury preventing normal duties for more than 7 consecutive days</t>
        </is>
      </c>
      <c r="C6" s="2" t="inlineStr">
        <is>
          <t>HSE — within 15 days</t>
        </is>
      </c>
    </row>
    <row r="7">
      <c r="A7" s="19" t="inlineStr">
        <is>
          <t>Occupational disease</t>
        </is>
      </c>
      <c r="B7" s="19" t="inlineStr">
        <is>
          <t>HAVS diagnosis from prolonged grinder/drill use, occupational asthma from welding fume exposure, dermatitis from cutting fluid/chemical contact</t>
        </is>
      </c>
      <c r="C7" s="19" t="inlineStr">
        <is>
          <t>HSE — on receipt of medical diagnosis confirming work-relatedness</t>
        </is>
      </c>
    </row>
    <row r="8">
      <c r="A8" s="2" t="inlineStr">
        <is>
          <t>Dangerous occurrence</t>
        </is>
      </c>
      <c r="B8" s="2" t="inlineStr">
        <is>
          <t>Uncontrolled refrigerant/ammonia release, collapse of lifting equipment/load, unintentional electrical short circuit causing fire/explosion, uncontrolled asbestos fibre release</t>
        </is>
      </c>
      <c r="C8" s="2" t="inlineStr">
        <is>
          <t>HSE — without delay</t>
        </is>
      </c>
    </row>
    <row r="9">
      <c r="A9" s="19" t="inlineStr">
        <is>
          <t>Gas incident</t>
        </is>
      </c>
      <c r="B9" s="19" t="inlineStr">
        <is>
          <t>Any incident involving suspected fault in gas-fired equipment FESS works on</t>
        </is>
      </c>
      <c r="C9" s="19" t="inlineStr">
        <is>
          <t>HSE via the Gas Safe/RIDDOR gas incident route</t>
        </is>
      </c>
    </row>
    <row r="10">
      <c r="A10" s="2" t="inlineStr">
        <is>
          <t>Non-worker injury</t>
        </is>
      </c>
      <c r="B10" s="2" t="inlineStr">
        <is>
          <t>Injury to a client's employee or member of public arising from FESS's work activity (e.g. from an inadequately guarded work area)</t>
        </is>
      </c>
      <c r="C10" s="2" t="inlineStr">
        <is>
          <t>HSE if the person is taken to hospital</t>
        </is>
      </c>
    </row>
  </sheetData>
  <mergeCells count="2">
    <mergeCell ref="A1:D1"/>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38" customWidth="1" min="1" max="1"/>
    <col width="20" customWidth="1" min="2" max="2"/>
    <col width="40" customWidth="1" min="3" max="3"/>
    <col width="34" customWidth="1" min="4" max="4"/>
  </cols>
  <sheetData>
    <row r="1" ht="26" customHeight="1">
      <c r="A1" s="17" t="inlineStr">
        <is>
          <t>Toolbox Talk Topics — Ready to Schedule</t>
        </is>
      </c>
    </row>
    <row r="2" ht="18" customHeight="1">
      <c r="A2" s="18" t="inlineStr">
        <is>
          <t>One toolbox talk per new hazard area identified — ready to drop into a MySafeOps toolbox talk schedule for FESS crews</t>
        </is>
      </c>
    </row>
    <row r="4" ht="32" customHeight="1">
      <c r="A4" s="1" t="inlineStr">
        <is>
          <t>Topic</t>
        </is>
      </c>
      <c r="B4" s="1" t="inlineStr">
        <is>
          <t>Linked Hazard Gap</t>
        </is>
      </c>
      <c r="C4" s="1" t="inlineStr">
        <is>
          <t>Suggested Frequency</t>
        </is>
      </c>
      <c r="D4" s="1" t="inlineStr">
        <is>
          <t>Audience</t>
        </is>
      </c>
    </row>
    <row r="5">
      <c r="A5" s="7" t="inlineStr">
        <is>
          <t>Allergen awareness &amp; cross-contamination</t>
        </is>
      </c>
      <c r="B5" s="7" t="inlineStr">
        <is>
          <t>New RA Row 1</t>
        </is>
      </c>
      <c r="C5" s="7" t="inlineStr">
        <is>
          <t>Before first entry to any new food site, then annually</t>
        </is>
      </c>
      <c r="D5" s="7" t="inlineStr">
        <is>
          <t>All site operatives</t>
        </is>
      </c>
    </row>
    <row r="6">
      <c r="A6" s="5" t="inlineStr">
        <is>
          <t>Foreign body prevention &amp; G&amp;HP policy</t>
        </is>
      </c>
      <c r="B6" s="5" t="inlineStr">
        <is>
          <t>New RA Rows 2, 4</t>
        </is>
      </c>
      <c r="C6" s="5" t="inlineStr">
        <is>
          <t>Induction + annually</t>
        </is>
      </c>
      <c r="D6" s="5" t="inlineStr">
        <is>
          <t>All site operatives</t>
        </is>
      </c>
    </row>
    <row r="7">
      <c r="A7" s="7" t="inlineStr">
        <is>
          <t>High-care / low-care zone discipline</t>
        </is>
      </c>
      <c r="B7" s="7" t="inlineStr">
        <is>
          <t>New RA Row 3</t>
        </is>
      </c>
      <c r="C7" s="7" t="inlineStr">
        <is>
          <t>Before first entry to a segregated site, then annually</t>
        </is>
      </c>
      <c r="D7" s="7" t="inlineStr">
        <is>
          <t>All site operatives</t>
        </is>
      </c>
    </row>
    <row r="8">
      <c r="A8" s="5" t="inlineStr">
        <is>
          <t>Confined space entry procedure</t>
        </is>
      </c>
      <c r="B8" s="5" t="inlineStr">
        <is>
          <t>New RA Row 9</t>
        </is>
      </c>
      <c r="C8" s="5" t="inlineStr">
        <is>
          <t>Before any confined space job, refreshed annually</t>
        </is>
      </c>
      <c r="D8" s="5" t="inlineStr">
        <is>
          <t>Operatives working in voids/tanks/pits</t>
        </is>
      </c>
    </row>
    <row r="9">
      <c r="A9" s="7" t="inlineStr">
        <is>
          <t>Ammonia/refrigerant awareness &amp; emergency response</t>
        </is>
      </c>
      <c r="B9" s="7" t="inlineStr">
        <is>
          <t>New RA Row 8</t>
        </is>
      </c>
      <c r="C9" s="7" t="inlineStr">
        <is>
          <t>Before any refrigeration plant job</t>
        </is>
      </c>
      <c r="D9" s="7" t="inlineStr">
        <is>
          <t>Operatives working near plant rooms</t>
        </is>
      </c>
    </row>
    <row r="10">
      <c r="A10" s="5" t="inlineStr">
        <is>
          <t>ATEX/combustible dust awareness for hot work</t>
        </is>
      </c>
      <c r="B10" s="5" t="inlineStr">
        <is>
          <t>New RA Row 10</t>
        </is>
      </c>
      <c r="C10" s="5" t="inlineStr">
        <is>
          <t>Before any hot work/grinding permit issued in a food dust environment</t>
        </is>
      </c>
      <c r="D10" s="5" t="inlineStr">
        <is>
          <t>Welders, grinder operators</t>
        </is>
      </c>
    </row>
    <row r="11">
      <c r="A11" s="7" t="inlineStr">
        <is>
          <t>HAVS awareness &amp; trigger-time management</t>
        </is>
      </c>
      <c r="B11" s="7" t="inlineStr">
        <is>
          <t>New RA Row 15</t>
        </is>
      </c>
      <c r="C11" s="7" t="inlineStr">
        <is>
          <t>Induction + every 6 months for frequent tool users</t>
        </is>
      </c>
      <c r="D11" s="7" t="inlineStr">
        <is>
          <t>Angle grinder/drill/impact tool operatives</t>
        </is>
      </c>
    </row>
    <row r="12">
      <c r="A12" s="5" t="inlineStr">
        <is>
          <t>LOLER lifting operations &amp; lift planning basics</t>
        </is>
      </c>
      <c r="B12" s="5" t="inlineStr">
        <is>
          <t>New RA Row 13</t>
        </is>
      </c>
      <c r="C12" s="5" t="inlineStr">
        <is>
          <t>Before any machinery relocation job</t>
        </is>
      </c>
      <c r="D12" s="5" t="inlineStr">
        <is>
          <t>Lead engineers, slingers, signallers</t>
        </is>
      </c>
    </row>
    <row r="13">
      <c r="A13" s="7" t="inlineStr">
        <is>
          <t>Asbestos awareness — older building fabric</t>
        </is>
      </c>
      <c r="B13" s="7" t="inlineStr">
        <is>
          <t>New RA Row 17</t>
        </is>
      </c>
      <c r="C13" s="7" t="inlineStr">
        <is>
          <t>Before any work disturbing ceiling/wall/roof fabric on pre-2000 buildings</t>
        </is>
      </c>
      <c r="D13" s="7" t="inlineStr">
        <is>
          <t>All site operatives</t>
        </is>
      </c>
    </row>
    <row r="14">
      <c r="A14" s="5" t="inlineStr">
        <is>
          <t>Lone working procedure &amp; check-in protocol</t>
        </is>
      </c>
      <c r="B14" s="5" t="inlineStr">
        <is>
          <t>New RA Rows 18, 19</t>
        </is>
      </c>
      <c r="C14" s="5" t="inlineStr">
        <is>
          <t>Induction + annually</t>
        </is>
      </c>
      <c r="D14" s="5" t="inlineStr">
        <is>
          <t>Callout/reactive engineers</t>
        </is>
      </c>
    </row>
    <row r="15">
      <c r="A15" s="7" t="inlineStr">
        <is>
          <t>Legionella awareness for water system work</t>
        </is>
      </c>
      <c r="B15" s="7" t="inlineStr">
        <is>
          <t>New RA Row 11</t>
        </is>
      </c>
      <c r="C15" s="7" t="inlineStr">
        <is>
          <t>Before any RO/water pipework job</t>
        </is>
      </c>
      <c r="D15" s="7" t="inlineStr">
        <is>
          <t>Operatives working on water systems</t>
        </is>
      </c>
    </row>
    <row r="16">
      <c r="A16" s="5" t="inlineStr">
        <is>
          <t>Arc flash awareness for panel work</t>
        </is>
      </c>
      <c r="B16" s="5" t="inlineStr">
        <is>
          <t>New RA Row 22</t>
        </is>
      </c>
      <c r="C16" s="5" t="inlineStr">
        <is>
          <t>Before any live panel/control cabinet work</t>
        </is>
      </c>
      <c r="D16" s="5" t="inlineStr">
        <is>
          <t>Electricians, controls engineers</t>
        </is>
      </c>
    </row>
    <row r="17">
      <c r="A17" s="7" t="inlineStr">
        <is>
          <t>Conveyor nip-point and guarding awareness</t>
        </is>
      </c>
      <c r="B17" s="7" t="inlineStr">
        <is>
          <t>New RA Row 24</t>
        </is>
      </c>
      <c r="C17" s="7" t="inlineStr">
        <is>
          <t>Before any conveyor install/maintenance job</t>
        </is>
      </c>
      <c r="D17" s="7" t="inlineStr">
        <is>
          <t>Mechanical engineers</t>
        </is>
      </c>
    </row>
    <row r="18">
      <c r="A18" s="5" t="inlineStr">
        <is>
          <t>CDM roles &amp; responsibilities refresher</t>
        </is>
      </c>
      <c r="B18" s="5" t="inlineStr">
        <is>
          <t>New RA Row 25</t>
        </is>
      </c>
      <c r="C18" s="5" t="inlineStr">
        <is>
          <t>Before any CDM-notifiable project</t>
        </is>
      </c>
      <c r="D18" s="5" t="inlineStr">
        <is>
          <t>Site supervisors, project leads</t>
        </is>
      </c>
    </row>
  </sheetData>
  <mergeCells count="2">
    <mergeCell ref="A1:D1"/>
    <mergeCell ref="A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36" customWidth="1" min="3" max="3"/>
    <col width="44" customWidth="1" min="4" max="4"/>
  </cols>
  <sheetData>
    <row r="1" ht="26" customHeight="1">
      <c r="A1" s="17" t="inlineStr">
        <is>
          <t>Training &amp; Competency Matrix</t>
        </is>
      </c>
    </row>
    <row r="2" ht="18" customHeight="1">
      <c r="A2" s="18" t="inlineStr">
        <is>
          <t>Certifications needed per activity type — feeds MySafeOps competency register with Permit auto-flag</t>
        </is>
      </c>
    </row>
    <row r="4" ht="32" customHeight="1">
      <c r="A4" s="1" t="inlineStr">
        <is>
          <t>Certification / Ticket</t>
        </is>
      </c>
      <c r="B4" s="1" t="inlineStr">
        <is>
          <t>Currently Tracked?</t>
        </is>
      </c>
      <c r="C4" s="1" t="inlineStr">
        <is>
          <t>Required For</t>
        </is>
      </c>
      <c r="D4" s="1" t="inlineStr">
        <is>
          <t>Notes</t>
        </is>
      </c>
    </row>
    <row r="5">
      <c r="A5" s="2" t="inlineStr">
        <is>
          <t>IPAF (MEWP operation)</t>
        </is>
      </c>
      <c r="B5" s="37" t="inlineStr">
        <is>
          <t>Referenced narratively</t>
        </is>
      </c>
      <c r="C5" s="2" t="inlineStr">
        <is>
          <t>Working at height / MEWP use</t>
        </is>
      </c>
      <c r="D5" s="2" t="inlineStr">
        <is>
          <t>Mentioned in RAMS text but not in a tracked register</t>
        </is>
      </c>
    </row>
    <row r="6">
      <c r="A6" s="2" t="inlineStr">
        <is>
          <t>PASMA (mobile scaffold tower)</t>
        </is>
      </c>
      <c r="B6" s="37" t="inlineStr">
        <is>
          <t>Referenced narratively</t>
        </is>
      </c>
      <c r="C6" s="2" t="inlineStr">
        <is>
          <t>Working at height / scaffold tower use</t>
        </is>
      </c>
      <c r="D6" s="2" t="inlineStr">
        <is>
          <t>Same — narrative only</t>
        </is>
      </c>
    </row>
    <row r="7">
      <c r="A7" s="2" t="inlineStr">
        <is>
          <t>PAT Testing competency</t>
        </is>
      </c>
      <c r="B7" s="37" t="inlineStr">
        <is>
          <t>Referenced narratively</t>
        </is>
      </c>
      <c r="C7" s="2" t="inlineStr">
        <is>
          <t>All power tool use</t>
        </is>
      </c>
      <c r="D7" s="2" t="inlineStr">
        <is>
          <t>Referenced but not tracked per-operative</t>
        </is>
      </c>
    </row>
    <row r="8">
      <c r="A8" s="19" t="inlineStr">
        <is>
          <t>CSCS / CCNSG Safety Passport</t>
        </is>
      </c>
      <c r="B8" s="38" t="inlineStr">
        <is>
          <t>NOT TRACKED</t>
        </is>
      </c>
      <c r="C8" s="19" t="inlineStr">
        <is>
          <t>Site access at most food manufacturer sites</t>
        </is>
      </c>
      <c r="D8" s="19" t="inlineStr">
        <is>
          <t>Standard client-side requirement, currently invisible to MySafeOps</t>
        </is>
      </c>
    </row>
    <row r="9">
      <c r="A9" s="19" t="inlineStr">
        <is>
          <t>IOSH Managing Safely / Working Safely</t>
        </is>
      </c>
      <c r="B9" s="38" t="inlineStr">
        <is>
          <t>NOT TRACKED</t>
        </is>
      </c>
      <c r="C9" s="19" t="inlineStr">
        <is>
          <t>Supervisors and all operatives respectively</t>
        </is>
      </c>
      <c r="D9" s="19" t="inlineStr">
        <is>
          <t>Recommend for lead engineers (Anderson, Pamerneckis, Kwapisz)</t>
        </is>
      </c>
    </row>
    <row r="10">
      <c r="A10" s="19" t="inlineStr">
        <is>
          <t>NEBOSH</t>
        </is>
      </c>
      <c r="B10" s="38" t="inlineStr">
        <is>
          <t>NOT TRACKED</t>
        </is>
      </c>
      <c r="C10" s="19" t="inlineStr">
        <is>
          <t>Site supervisors / H&amp;S responsible persons</t>
        </is>
      </c>
      <c r="D10" s="19" t="inlineStr">
        <is>
          <t>Recommend for lead engineer / H&amp;S advisor role</t>
        </is>
      </c>
    </row>
    <row r="11">
      <c r="A11" s="19" t="inlineStr">
        <is>
          <t>Confined Space Entry &amp; Rescue</t>
        </is>
      </c>
      <c r="B11" s="38" t="inlineStr">
        <is>
          <t>NOT TRACKED</t>
        </is>
      </c>
      <c r="C11" s="19" t="inlineStr">
        <is>
          <t>Any confined space / ceiling void work</t>
        </is>
      </c>
      <c r="D11" s="19" t="inlineStr">
        <is>
          <t>Critical given confined space gap (see Hazard Gap Register #9)</t>
        </is>
      </c>
    </row>
    <row r="12">
      <c r="A12" s="19" t="inlineStr">
        <is>
          <t>LOLER / Lifting Supervisor / Slinger-Signaller</t>
        </is>
      </c>
      <c r="B12" s="38" t="inlineStr">
        <is>
          <t>NOT TRACKED</t>
        </is>
      </c>
      <c r="C12" s="19" t="inlineStr">
        <is>
          <t>All machine installation/relocation work</t>
        </is>
      </c>
      <c r="D12" s="19" t="inlineStr">
        <is>
          <t>Critical given LOLER gap (see Hazard Gap Register #13)</t>
        </is>
      </c>
    </row>
    <row r="13">
      <c r="A13" s="19" t="inlineStr">
        <is>
          <t>Abrasive Wheels</t>
        </is>
      </c>
      <c r="B13" s="38" t="inlineStr">
        <is>
          <t>NOT TRACKED</t>
        </is>
      </c>
      <c r="C13" s="19" t="inlineStr">
        <is>
          <t>Angle grinder use — extensive across all RAMS</t>
        </is>
      </c>
      <c r="D13" s="19" t="inlineStr">
        <is>
          <t>High-frequency activity, zero formal competency tracking</t>
        </is>
      </c>
    </row>
    <row r="14">
      <c r="A14" s="19" t="inlineStr">
        <is>
          <t>First Aid at Work</t>
        </is>
      </c>
      <c r="B14" s="38" t="inlineStr">
        <is>
          <t>NOT TRACKED</t>
        </is>
      </c>
      <c r="C14" s="19" t="inlineStr">
        <is>
          <t>All site teams</t>
        </is>
      </c>
      <c r="D14" s="19" t="inlineStr">
        <is>
          <t>Standard requirement, not currently in MySafeOps for FESS</t>
        </is>
      </c>
    </row>
    <row r="15">
      <c r="A15" s="19" t="inlineStr">
        <is>
          <t>Fire Marshal / Fire Warden</t>
        </is>
      </c>
      <c r="B15" s="38" t="inlineStr">
        <is>
          <t>NOT TRACKED</t>
        </is>
      </c>
      <c r="C15" s="19" t="inlineStr">
        <is>
          <t>Hot work supervision, general site presence</t>
        </is>
      </c>
      <c r="D15" s="19" t="inlineStr">
        <is>
          <t>Relevant given hot work permit use at Cranswick</t>
        </is>
      </c>
    </row>
    <row r="16">
      <c r="A16" s="2" t="inlineStr">
        <is>
          <t>Manual Handling (certified)</t>
        </is>
      </c>
      <c r="B16" s="37" t="inlineStr">
        <is>
          <t>Referenced narratively</t>
        </is>
      </c>
      <c r="C16" s="2" t="inlineStr">
        <is>
          <t>All operatives — 25kg threshold used throughout</t>
        </is>
      </c>
      <c r="D16" s="2" t="inlineStr">
        <is>
          <t>RAMS text describes technique but no certificate tracked</t>
        </is>
      </c>
    </row>
    <row r="17">
      <c r="A17" s="19" t="inlineStr">
        <is>
          <t>ATEX Awareness</t>
        </is>
      </c>
      <c r="B17" s="38" t="inlineStr">
        <is>
          <t>NOT TRACKED</t>
        </is>
      </c>
      <c r="C17" s="19" t="inlineStr">
        <is>
          <t>Hot work/grinding in food dust environments</t>
        </is>
      </c>
      <c r="D17" s="19" t="inlineStr">
        <is>
          <t>New requirement — see Hazard Gap Register #10</t>
        </is>
      </c>
    </row>
    <row r="18">
      <c r="A18" s="19" t="inlineStr">
        <is>
          <t>Legionella Awareness</t>
        </is>
      </c>
      <c r="B18" s="38" t="inlineStr">
        <is>
          <t>NOT TRACKED</t>
        </is>
      </c>
      <c r="C18" s="19" t="inlineStr">
        <is>
          <t>RO installation, water pipe work</t>
        </is>
      </c>
      <c r="D18" s="19" t="inlineStr">
        <is>
          <t>New requirement — see Hazard Gap Register #11</t>
        </is>
      </c>
    </row>
    <row r="19">
      <c r="A19" s="19" t="inlineStr">
        <is>
          <t>Allergen Awareness / Food Hygiene Level 2</t>
        </is>
      </c>
      <c r="B19" s="38" t="inlineStr">
        <is>
          <t>NOT TRACKED</t>
        </is>
      </c>
      <c r="C19" s="19" t="inlineStr">
        <is>
          <t>All operatives entering food production areas</t>
        </is>
      </c>
      <c r="D19" s="19" t="inlineStr">
        <is>
          <t>Critical — most food manufacturers now require this contractually</t>
        </is>
      </c>
    </row>
    <row r="20">
      <c r="A20" s="19" t="inlineStr">
        <is>
          <t>Gas Safe Registration</t>
        </is>
      </c>
      <c r="B20" s="38" t="inlineStr">
        <is>
          <t>NOT TRACKED</t>
        </is>
      </c>
      <c r="C20" s="19" t="inlineStr">
        <is>
          <t>Any gas-fired equipment work</t>
        </is>
      </c>
      <c r="D20" s="19" t="inlineStr">
        <is>
          <t>Confirm scope with FESS</t>
        </is>
      </c>
    </row>
    <row r="21">
      <c r="A21" s="19" t="inlineStr">
        <is>
          <t>F-Gas Handling Certificate</t>
        </is>
      </c>
      <c r="B21" s="38" t="inlineStr">
        <is>
          <t>NOT TRACKED</t>
        </is>
      </c>
      <c r="C21" s="19" t="inlineStr">
        <is>
          <t>Refrigeration/ammonia system work</t>
        </is>
      </c>
      <c r="D21" s="19" t="inlineStr">
        <is>
          <t>New requirement — see Hazard Gap Register #8</t>
        </is>
      </c>
    </row>
  </sheetData>
  <mergeCells count="2">
    <mergeCell ref="A2:E2"/>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4" customWidth="1" min="3" max="3"/>
    <col width="12" customWidth="1" min="4" max="4"/>
    <col width="10" customWidth="1" min="5" max="5"/>
    <col width="12" customWidth="1" min="6" max="6"/>
    <col width="12" customWidth="1" min="7" max="7"/>
    <col width="14" customWidth="1" min="8" max="8"/>
    <col width="40" customWidth="1" min="9" max="9"/>
  </cols>
  <sheetData>
    <row r="1" ht="26" customHeight="1">
      <c r="A1" s="17" t="inlineStr">
        <is>
          <t>Personnel Competency Tracker</t>
        </is>
      </c>
    </row>
    <row r="2" ht="18" customHeight="1">
      <c r="A2" s="18" t="inlineStr">
        <is>
          <t>Named operatives found across the 22 documents — ready to populate against the Training &amp; Competency matrix in MySafeOps</t>
        </is>
      </c>
    </row>
    <row r="4" ht="32" customHeight="1">
      <c r="A4" s="1" t="inlineStr">
        <is>
          <t>Name</t>
        </is>
      </c>
      <c r="B4" s="1" t="inlineStr">
        <is>
          <t>Role Seen In Docs</t>
        </is>
      </c>
      <c r="C4" s="1" t="inlineStr">
        <is>
          <t>Jobs Attended</t>
        </is>
      </c>
      <c r="D4" s="1" t="inlineStr">
        <is>
          <t>IPAF/PASMA</t>
        </is>
      </c>
      <c r="E4" s="1" t="inlineStr">
        <is>
          <t>PAT Comp.</t>
        </is>
      </c>
      <c r="F4" s="1" t="inlineStr">
        <is>
          <t>LOLER/Slinger</t>
        </is>
      </c>
      <c r="G4" s="1" t="inlineStr">
        <is>
          <t>Confined Space</t>
        </is>
      </c>
      <c r="H4" s="1" t="inlineStr">
        <is>
          <t>Food Hygiene L2</t>
        </is>
      </c>
      <c r="I4" s="1" t="inlineStr">
        <is>
          <t>Notes</t>
        </is>
      </c>
    </row>
    <row r="5">
      <c r="A5" s="2" t="inlineStr">
        <is>
          <t>David Anderson</t>
        </is>
      </c>
      <c r="B5" s="2" t="inlineStr">
        <is>
          <t>Supervisor / Lead Engineer / Report Author</t>
        </is>
      </c>
      <c r="C5" s="2" t="inlineStr">
        <is>
          <t>Author or lead on all 22 documents</t>
        </is>
      </c>
      <c r="D5" s="22" t="inlineStr">
        <is>
          <t>TO VERIFY</t>
        </is>
      </c>
      <c r="E5" s="22" t="inlineStr">
        <is>
          <t>TO VERIFY</t>
        </is>
      </c>
      <c r="F5" s="22" t="inlineStr">
        <is>
          <t>TO VERIFY</t>
        </is>
      </c>
      <c r="G5" s="22" t="inlineStr">
        <is>
          <t>TO VERIFY</t>
        </is>
      </c>
      <c r="H5" s="22" t="inlineStr">
        <is>
          <t>TO VERIFY</t>
        </is>
      </c>
      <c r="I5" s="2" t="inlineStr">
        <is>
          <t>Primary named signatory across the entire document set — highest priority to get fully certified in MySafeOps</t>
        </is>
      </c>
    </row>
    <row r="6">
      <c r="A6" s="7" t="inlineStr">
        <is>
          <t>Deividas Pamerneckis</t>
        </is>
      </c>
      <c r="B6" s="7" t="inlineStr">
        <is>
          <t>Lead Engineer / Works Supervisor</t>
        </is>
      </c>
      <c r="C6" s="7" t="inlineStr">
        <is>
          <t>2SFG Flixton, Cranswick Lazenby</t>
        </is>
      </c>
      <c r="D6" s="43" t="inlineStr">
        <is>
          <t>TO VERIFY</t>
        </is>
      </c>
      <c r="E6" s="43" t="inlineStr">
        <is>
          <t>TO VERIFY</t>
        </is>
      </c>
      <c r="F6" s="43" t="inlineStr">
        <is>
          <t>TO VERIFY</t>
        </is>
      </c>
      <c r="G6" s="43" t="inlineStr">
        <is>
          <t>TO VERIFY</t>
        </is>
      </c>
      <c r="H6" s="43" t="inlineStr">
        <is>
          <t>TO VERIFY</t>
        </is>
      </c>
      <c r="I6" s="7" t="inlineStr">
        <is>
          <t>Works Supervisor role on Flixton M&amp;E job</t>
        </is>
      </c>
    </row>
    <row r="7">
      <c r="A7" s="5" t="inlineStr">
        <is>
          <t>Bartek Kwapisz</t>
        </is>
      </c>
      <c r="B7" s="5" t="inlineStr">
        <is>
          <t>Lead Engineer</t>
        </is>
      </c>
      <c r="C7" s="5" t="inlineStr">
        <is>
          <t>Butternut Box installation, spiral conveyor works</t>
        </is>
      </c>
      <c r="D7" s="44" t="inlineStr">
        <is>
          <t>TO VERIFY</t>
        </is>
      </c>
      <c r="E7" s="44" t="inlineStr">
        <is>
          <t>TO VERIFY</t>
        </is>
      </c>
      <c r="F7" s="44" t="inlineStr">
        <is>
          <t>TO VERIFY</t>
        </is>
      </c>
      <c r="G7" s="44" t="inlineStr">
        <is>
          <t>TO VERIFY</t>
        </is>
      </c>
      <c r="H7" s="44" t="inlineStr">
        <is>
          <t>TO VERIFY</t>
        </is>
      </c>
      <c r="I7" s="5" t="inlineStr">
        <is>
          <t>Lead Engineer on all Butternut Box jobs</t>
        </is>
      </c>
    </row>
    <row r="8">
      <c r="A8" s="7" t="inlineStr">
        <is>
          <t>Wiktor Pacanowski</t>
        </is>
      </c>
      <c r="B8" s="7" t="inlineStr">
        <is>
          <t>Operative</t>
        </is>
      </c>
      <c r="C8" s="7" t="inlineStr">
        <is>
          <t>2SFG Flixton, Butternut Box (multiple)</t>
        </is>
      </c>
      <c r="D8" s="43" t="inlineStr">
        <is>
          <t>TO VERIFY</t>
        </is>
      </c>
      <c r="E8" s="43" t="inlineStr">
        <is>
          <t>TO VERIFY</t>
        </is>
      </c>
      <c r="F8" s="43" t="inlineStr">
        <is>
          <t>TO VERIFY</t>
        </is>
      </c>
      <c r="G8" s="43" t="inlineStr">
        <is>
          <t>TO VERIFY</t>
        </is>
      </c>
      <c r="H8" s="43" t="inlineStr">
        <is>
          <t>TO VERIFY</t>
        </is>
      </c>
      <c r="I8" s="7" t="inlineStr">
        <is>
          <t>Appears across both 2SFG and Butternut Box jobs</t>
        </is>
      </c>
    </row>
    <row r="9">
      <c r="A9" s="5" t="inlineStr">
        <is>
          <t>Bronius Masulevicius</t>
        </is>
      </c>
      <c r="B9" s="5" t="inlineStr">
        <is>
          <t>Operative</t>
        </is>
      </c>
      <c r="C9" s="5" t="inlineStr">
        <is>
          <t>2SFG Flixton, Butternut Box (multiple)</t>
        </is>
      </c>
      <c r="D9" s="44" t="inlineStr">
        <is>
          <t>TO VERIFY</t>
        </is>
      </c>
      <c r="E9" s="44" t="inlineStr">
        <is>
          <t>TO VERIFY</t>
        </is>
      </c>
      <c r="F9" s="44" t="inlineStr">
        <is>
          <t>TO VERIFY</t>
        </is>
      </c>
      <c r="G9" s="44" t="inlineStr">
        <is>
          <t>TO VERIFY</t>
        </is>
      </c>
      <c r="H9" s="44" t="inlineStr">
        <is>
          <t>TO VERIFY</t>
        </is>
      </c>
      <c r="I9" s="5" t="inlineStr">
        <is>
          <t>Appears across both 2SFG and Butternut Box jobs</t>
        </is>
      </c>
    </row>
    <row r="10">
      <c r="A10" s="7" t="inlineStr">
        <is>
          <t>Mateusz Kaszkowiak</t>
        </is>
      </c>
      <c r="B10" s="7" t="inlineStr">
        <is>
          <t>Operative</t>
        </is>
      </c>
      <c r="C10" s="7" t="inlineStr">
        <is>
          <t>Butternut Box (installation, spiral conveyor)</t>
        </is>
      </c>
      <c r="D10" s="43" t="inlineStr">
        <is>
          <t>TO VERIFY</t>
        </is>
      </c>
      <c r="E10" s="43" t="inlineStr">
        <is>
          <t>TO VERIFY</t>
        </is>
      </c>
      <c r="F10" s="43" t="inlineStr">
        <is>
          <t>TO VERIFY</t>
        </is>
      </c>
      <c r="G10" s="43" t="inlineStr">
        <is>
          <t>TO VERIFY</t>
        </is>
      </c>
      <c r="H10" s="43" t="inlineStr">
        <is>
          <t>TO VERIFY</t>
        </is>
      </c>
      <c r="I10" s="7" t="inlineStr"/>
    </row>
    <row r="11">
      <c r="A11" s="5" t="inlineStr">
        <is>
          <t>Maciej Pokladecki</t>
        </is>
      </c>
      <c r="B11" s="5" t="inlineStr">
        <is>
          <t>Operative</t>
        </is>
      </c>
      <c r="C11" s="5" t="inlineStr">
        <is>
          <t>Butternut Box spiral conveyor repair</t>
        </is>
      </c>
      <c r="D11" s="44" t="inlineStr">
        <is>
          <t>TO VERIFY</t>
        </is>
      </c>
      <c r="E11" s="44" t="inlineStr">
        <is>
          <t>TO VERIFY</t>
        </is>
      </c>
      <c r="F11" s="44" t="inlineStr">
        <is>
          <t>TO VERIFY</t>
        </is>
      </c>
      <c r="G11" s="44" t="inlineStr">
        <is>
          <t>TO VERIFY</t>
        </is>
      </c>
      <c r="H11" s="44" t="inlineStr">
        <is>
          <t>TO VERIFY</t>
        </is>
      </c>
      <c r="I11" s="5" t="inlineStr">
        <is>
          <t>Also the original FESS/MySafeOps introduction contact per project history</t>
        </is>
      </c>
    </row>
  </sheetData>
  <mergeCells count="2">
    <mergeCell ref="A1:I1"/>
    <mergeCell ref="A2:I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44" customWidth="1" min="4" max="4"/>
    <col width="24" customWidth="1" min="5" max="5"/>
    <col width="40" customWidth="1" min="6" max="6"/>
  </cols>
  <sheetData>
    <row r="1" ht="26" customHeight="1">
      <c r="A1" s="17" t="inlineStr">
        <is>
          <t>Site &amp; Emergency Information Register</t>
        </is>
      </c>
    </row>
    <row r="2" ht="18" customHeight="1">
      <c r="A2" s="18" t="inlineStr">
        <is>
          <t>Fixes the 'nearest hospital: SURREY' error found on the Flixton document — one clean row per site, ready for MySafeOps auto-populate rollout</t>
        </is>
      </c>
    </row>
    <row r="4" ht="32" customHeight="1">
      <c r="A4" s="1" t="inlineStr">
        <is>
          <t>Site</t>
        </is>
      </c>
      <c r="B4" s="1" t="inlineStr">
        <is>
          <t>Client</t>
        </is>
      </c>
      <c r="C4" s="1" t="inlineStr">
        <is>
          <t>Town/Area</t>
        </is>
      </c>
      <c r="D4" s="1" t="inlineStr">
        <is>
          <t>Nearest A&amp;E (to verify/confirm)</t>
        </is>
      </c>
      <c r="E4" s="1" t="inlineStr">
        <is>
          <t>First Aid Box Location</t>
        </is>
      </c>
      <c r="F4" s="1" t="inlineStr">
        <is>
          <t>Notes</t>
        </is>
      </c>
    </row>
    <row r="5">
      <c r="A5" s="19" t="inlineStr">
        <is>
          <t>2SFG Flixton</t>
        </is>
      </c>
      <c r="B5" s="19" t="inlineStr">
        <is>
          <t>2 Sisters Food Group</t>
        </is>
      </c>
      <c r="C5" s="19" t="inlineStr">
        <is>
          <t>Flixton, Manchester area</t>
        </is>
      </c>
      <c r="D5" s="19" t="inlineStr">
        <is>
          <t>Wythenshawe Hospital or Trafford General — CONFIRM WITH SITE (document incorrectly listed 'SURREY')</t>
        </is>
      </c>
      <c r="E5" s="19" t="inlineStr">
        <is>
          <t>Site Office (as stated)</t>
        </is>
      </c>
      <c r="F5" s="19" t="inlineStr">
        <is>
          <t>Existing document has a confirmed factual error — high priority fix</t>
        </is>
      </c>
    </row>
    <row r="6">
      <c r="A6" s="2" t="inlineStr">
        <is>
          <t>2SFG Scunthorpe</t>
        </is>
      </c>
      <c r="B6" s="2" t="inlineStr">
        <is>
          <t>2 Sisters Food Group</t>
        </is>
      </c>
      <c r="C6" s="2" t="inlineStr">
        <is>
          <t>Scunthorpe, Lincolnshire</t>
        </is>
      </c>
      <c r="D6" s="2" t="inlineStr">
        <is>
          <t>Scunthorpe General Hospital — CONFIRM</t>
        </is>
      </c>
      <c r="E6" s="2" t="inlineStr">
        <is>
          <t>To confirm with site</t>
        </is>
      </c>
      <c r="F6" s="2" t="inlineStr">
        <is>
          <t>Multiple jobs run at this site (FP1, tank relocation, RO works, kettletank, Dolav/Meyn works)</t>
        </is>
      </c>
    </row>
    <row r="7">
      <c r="A7" s="5" t="inlineStr">
        <is>
          <t>Butternut Box</t>
        </is>
      </c>
      <c r="B7" s="5" t="inlineStr">
        <is>
          <t>Butternut Box</t>
        </is>
      </c>
      <c r="C7" s="5" t="inlineStr">
        <is>
          <t>To confirm exact site town</t>
        </is>
      </c>
      <c r="D7" s="5" t="inlineStr">
        <is>
          <t>To confirm with site</t>
        </is>
      </c>
      <c r="E7" s="5" t="inlineStr">
        <is>
          <t>To confirm with site</t>
        </is>
      </c>
      <c r="F7" s="5" t="inlineStr">
        <is>
          <t>Installation + repeat callout site — repeat-visit site, worth a permanent site profile in MySafeOps</t>
        </is>
      </c>
    </row>
    <row r="8">
      <c r="A8" s="2" t="inlineStr">
        <is>
          <t>Dovecoat Park</t>
        </is>
      </c>
      <c r="B8" s="2" t="inlineStr">
        <is>
          <t>Dovecoat Park</t>
        </is>
      </c>
      <c r="C8" s="2" t="inlineStr">
        <is>
          <t>To confirm exact site town</t>
        </is>
      </c>
      <c r="D8" s="2" t="inlineStr">
        <is>
          <t>To confirm with site</t>
        </is>
      </c>
      <c r="E8" s="2" t="inlineStr">
        <is>
          <t>To confirm with site</t>
        </is>
      </c>
      <c r="F8" s="2" t="inlineStr">
        <is>
          <t>Multiple visits across 2026 (Feb, Mar, Jun) — repeat-visit site</t>
        </is>
      </c>
    </row>
    <row r="9">
      <c r="A9" s="5" t="inlineStr">
        <is>
          <t>Cranswick Foods / Foodclean Lazenby</t>
        </is>
      </c>
      <c r="B9" s="5" t="inlineStr">
        <is>
          <t>Cranswick Foods</t>
        </is>
      </c>
      <c r="C9" s="5" t="inlineStr">
        <is>
          <t>Lazenby</t>
        </is>
      </c>
      <c r="D9" s="5" t="inlineStr">
        <is>
          <t>To confirm with site</t>
        </is>
      </c>
      <c r="E9" s="5" t="inlineStr">
        <is>
          <t>To confirm with site</t>
        </is>
      </c>
      <c r="F9" s="5" t="inlineStr">
        <is>
          <t>FESS registered office listed on this document: Unit 11 Platinum Park, Doncaster DN9 3RU</t>
        </is>
      </c>
    </row>
    <row r="10">
      <c r="A10" s="2" t="inlineStr">
        <is>
          <t>Quorn</t>
        </is>
      </c>
      <c r="B10" s="2" t="inlineStr">
        <is>
          <t>Quorn Foods</t>
        </is>
      </c>
      <c r="C10" s="2" t="inlineStr">
        <is>
          <t>To confirm exact site town</t>
        </is>
      </c>
      <c r="D10" s="2" t="inlineStr">
        <is>
          <t>To confirm with site</t>
        </is>
      </c>
      <c r="E10" s="2" t="inlineStr">
        <is>
          <t>To confirm with site</t>
        </is>
      </c>
      <c r="F10" s="2" t="inlineStr">
        <is>
          <t>Two jobs recorded: Unistrut pipe support, water pipe/evap tower support</t>
        </is>
      </c>
    </row>
  </sheetData>
  <mergeCells count="2">
    <mergeCell ref="A2:F2"/>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2"/>
  <sheetViews>
    <sheetView showGridLines="0" workbookViewId="0">
      <selection activeCell="A1" sqref="A1"/>
    </sheetView>
  </sheetViews>
  <sheetFormatPr baseColWidth="8" defaultRowHeight="15"/>
  <cols>
    <col width="35" customWidth="1" min="1" max="1"/>
    <col width="12" customWidth="1" min="2" max="2"/>
    <col width="10" customWidth="1" min="3" max="3"/>
    <col width="12" customWidth="1" min="4" max="4"/>
    <col width="16" customWidth="1" min="5" max="5"/>
    <col width="18" customWidth="1" min="6" max="6"/>
    <col width="14" customWidth="1" min="7" max="7"/>
    <col width="8" customWidth="1" min="8" max="8"/>
    <col width="10" customWidth="1" min="9" max="9"/>
    <col width="14" customWidth="1" min="10" max="10"/>
    <col width="30" customWidth="1" min="11" max="11"/>
  </cols>
  <sheetData>
    <row r="1">
      <c r="A1" s="1" t="inlineStr">
        <is>
          <t>Activity</t>
        </is>
      </c>
      <c r="B1" s="1" t="inlineStr">
        <is>
          <t>Safety Boots</t>
        </is>
      </c>
      <c r="C1" s="1" t="inlineStr">
        <is>
          <t>Hard Hat</t>
        </is>
      </c>
      <c r="D1" s="1" t="inlineStr">
        <is>
          <t>Safety Gloves</t>
        </is>
      </c>
      <c r="E1" s="1" t="inlineStr">
        <is>
          <t>Hearing Protection</t>
        </is>
      </c>
      <c r="F1" s="1" t="inlineStr">
        <is>
          <t>Respiratory Protection</t>
        </is>
      </c>
      <c r="G1" s="1" t="inlineStr">
        <is>
          <t>Eye Protection</t>
        </is>
      </c>
      <c r="H1" s="1" t="inlineStr">
        <is>
          <t>Hi-Vis</t>
        </is>
      </c>
      <c r="I1" s="1" t="inlineStr">
        <is>
          <t>Harness</t>
        </is>
      </c>
      <c r="J1" s="1" t="inlineStr">
        <is>
          <t>Welding Mask</t>
        </is>
      </c>
      <c r="K1" s="1" t="inlineStr">
        <is>
          <t>Notes</t>
        </is>
      </c>
    </row>
    <row r="2">
      <c r="A2" s="5" t="inlineStr">
        <is>
          <t>General site work</t>
        </is>
      </c>
      <c r="B2" s="5" t="inlineStr">
        <is>
          <t>YES</t>
        </is>
      </c>
      <c r="C2" s="5" t="inlineStr">
        <is>
          <t>YES</t>
        </is>
      </c>
      <c r="D2" s="5" t="inlineStr">
        <is>
          <t>YES</t>
        </is>
      </c>
      <c r="E2" s="5" t="inlineStr">
        <is>
          <t>As req'd</t>
        </is>
      </c>
      <c r="F2" s="5" t="inlineStr">
        <is>
          <t>As req'd</t>
        </is>
      </c>
      <c r="G2" s="5" t="inlineStr">
        <is>
          <t>As req'd</t>
        </is>
      </c>
      <c r="H2" s="5" t="inlineStr">
        <is>
          <t>YES</t>
        </is>
      </c>
      <c r="I2" s="5" t="inlineStr">
        <is>
          <t>N/A</t>
        </is>
      </c>
      <c r="J2" s="5" t="inlineStr">
        <is>
          <t>N/A</t>
        </is>
      </c>
      <c r="K2" s="5" t="inlineStr"/>
    </row>
    <row r="3">
      <c r="A3" s="7" t="inlineStr">
        <is>
          <t>Working at height (MEWP)</t>
        </is>
      </c>
      <c r="B3" s="7" t="inlineStr">
        <is>
          <t>YES</t>
        </is>
      </c>
      <c r="C3" s="7" t="inlineStr">
        <is>
          <t>YES</t>
        </is>
      </c>
      <c r="D3" s="7" t="inlineStr">
        <is>
          <t>YES</t>
        </is>
      </c>
      <c r="E3" s="7" t="inlineStr">
        <is>
          <t>As req'd</t>
        </is>
      </c>
      <c r="F3" s="7" t="inlineStr">
        <is>
          <t>N/A</t>
        </is>
      </c>
      <c r="G3" s="7" t="inlineStr">
        <is>
          <t>As req'd</t>
        </is>
      </c>
      <c r="H3" s="7" t="inlineStr">
        <is>
          <t>YES</t>
        </is>
      </c>
      <c r="I3" s="7" t="inlineStr">
        <is>
          <t>MANDATORY</t>
        </is>
      </c>
      <c r="J3" s="7" t="inlineStr">
        <is>
          <t>N/A</t>
        </is>
      </c>
      <c r="K3" s="7" t="inlineStr">
        <is>
          <t>Cherry Picker harness mandatory</t>
        </is>
      </c>
    </row>
    <row r="4">
      <c r="A4" s="5" t="inlineStr">
        <is>
          <t>Cable installation above 2000mm</t>
        </is>
      </c>
      <c r="B4" s="5" t="inlineStr">
        <is>
          <t>YES</t>
        </is>
      </c>
      <c r="C4" s="5" t="inlineStr">
        <is>
          <t>YES</t>
        </is>
      </c>
      <c r="D4" s="5" t="inlineStr">
        <is>
          <t>YES</t>
        </is>
      </c>
      <c r="E4" s="5" t="inlineStr">
        <is>
          <t>As req'd</t>
        </is>
      </c>
      <c r="F4" s="5" t="inlineStr">
        <is>
          <t>YES</t>
        </is>
      </c>
      <c r="G4" s="5" t="inlineStr">
        <is>
          <t>YES</t>
        </is>
      </c>
      <c r="H4" s="5" t="inlineStr">
        <is>
          <t>YES</t>
        </is>
      </c>
      <c r="I4" s="5" t="inlineStr">
        <is>
          <t>If MEWP</t>
        </is>
      </c>
      <c r="J4" s="5" t="inlineStr">
        <is>
          <t>N/A</t>
        </is>
      </c>
      <c r="K4" s="5" t="inlineStr">
        <is>
          <t>Dust mask required</t>
        </is>
      </c>
    </row>
    <row r="5">
      <c r="A5" s="7" t="inlineStr">
        <is>
          <t>Cutting/drilling with power tools</t>
        </is>
      </c>
      <c r="B5" s="7" t="inlineStr">
        <is>
          <t>YES</t>
        </is>
      </c>
      <c r="C5" s="7" t="inlineStr">
        <is>
          <t>YES</t>
        </is>
      </c>
      <c r="D5" s="7" t="inlineStr">
        <is>
          <t>YES</t>
        </is>
      </c>
      <c r="E5" s="7" t="inlineStr">
        <is>
          <t>YES &gt;85dB</t>
        </is>
      </c>
      <c r="F5" s="7" t="inlineStr">
        <is>
          <t>YES</t>
        </is>
      </c>
      <c r="G5" s="7" t="inlineStr">
        <is>
          <t>YES (BS EN166)</t>
        </is>
      </c>
      <c r="H5" s="7" t="inlineStr">
        <is>
          <t>YES</t>
        </is>
      </c>
      <c r="I5" s="7" t="inlineStr">
        <is>
          <t>N/A</t>
        </is>
      </c>
      <c r="J5" s="7" t="inlineStr">
        <is>
          <t>N/A</t>
        </is>
      </c>
      <c r="K5" s="7" t="inlineStr">
        <is>
          <t>PAT tested tools only</t>
        </is>
      </c>
    </row>
    <row r="6">
      <c r="A6" s="5" t="inlineStr">
        <is>
          <t>Angle grinder - stainless steel</t>
        </is>
      </c>
      <c r="B6" s="5" t="inlineStr">
        <is>
          <t>YES</t>
        </is>
      </c>
      <c r="C6" s="5" t="inlineStr">
        <is>
          <t>YES</t>
        </is>
      </c>
      <c r="D6" s="5" t="inlineStr">
        <is>
          <t>YES</t>
        </is>
      </c>
      <c r="E6" s="5" t="inlineStr">
        <is>
          <t>YES</t>
        </is>
      </c>
      <c r="F6" s="5" t="inlineStr">
        <is>
          <t>YES</t>
        </is>
      </c>
      <c r="G6" s="5" t="inlineStr">
        <is>
          <t>YES</t>
        </is>
      </c>
      <c r="H6" s="5" t="inlineStr">
        <is>
          <t>YES</t>
        </is>
      </c>
      <c r="I6" s="5" t="inlineStr">
        <is>
          <t>N/A</t>
        </is>
      </c>
      <c r="J6" s="5" t="inlineStr">
        <is>
          <t>N/A</t>
        </is>
      </c>
      <c r="K6" s="5" t="inlineStr">
        <is>
          <t>Fire extinguisher present</t>
        </is>
      </c>
    </row>
    <row r="7">
      <c r="A7" s="7" t="inlineStr">
        <is>
          <t>Electrical connection/wiring</t>
        </is>
      </c>
      <c r="B7" s="7" t="inlineStr">
        <is>
          <t>YES</t>
        </is>
      </c>
      <c r="C7" s="7" t="inlineStr">
        <is>
          <t>YES</t>
        </is>
      </c>
      <c r="D7" s="7" t="inlineStr">
        <is>
          <t>YES (insulated)</t>
        </is>
      </c>
      <c r="E7" s="7" t="inlineStr">
        <is>
          <t>N/A</t>
        </is>
      </c>
      <c r="F7" s="7" t="inlineStr">
        <is>
          <t>N/A</t>
        </is>
      </c>
      <c r="G7" s="7" t="inlineStr">
        <is>
          <t>As req'd</t>
        </is>
      </c>
      <c r="H7" s="7" t="inlineStr">
        <is>
          <t>YES</t>
        </is>
      </c>
      <c r="I7" s="7" t="inlineStr">
        <is>
          <t>N/A</t>
        </is>
      </c>
      <c r="J7" s="7" t="inlineStr">
        <is>
          <t>N/A</t>
        </is>
      </c>
      <c r="K7" s="7" t="inlineStr">
        <is>
          <t>Insulated tools for live work</t>
        </is>
      </c>
    </row>
    <row r="8">
      <c r="A8" s="5" t="inlineStr">
        <is>
          <t>Welding (TIG)</t>
        </is>
      </c>
      <c r="B8" s="5" t="inlineStr">
        <is>
          <t>YES</t>
        </is>
      </c>
      <c r="C8" s="5" t="inlineStr">
        <is>
          <t>YES</t>
        </is>
      </c>
      <c r="D8" s="5" t="inlineStr">
        <is>
          <t>YES</t>
        </is>
      </c>
      <c r="E8" s="5" t="inlineStr">
        <is>
          <t>N/A</t>
        </is>
      </c>
      <c r="F8" s="5" t="inlineStr">
        <is>
          <t>YES</t>
        </is>
      </c>
      <c r="G8" s="5" t="inlineStr">
        <is>
          <t>N/A</t>
        </is>
      </c>
      <c r="H8" s="5" t="inlineStr">
        <is>
          <t>YES</t>
        </is>
      </c>
      <c r="I8" s="5" t="inlineStr">
        <is>
          <t>N/A</t>
        </is>
      </c>
      <c r="J8" s="5" t="inlineStr">
        <is>
          <t>YES (ventilated)</t>
        </is>
      </c>
      <c r="K8" s="5" t="inlineStr">
        <is>
          <t>Hot work permit mandatory</t>
        </is>
      </c>
    </row>
    <row r="9">
      <c r="A9" s="7" t="inlineStr">
        <is>
          <t>Pressure testing</t>
        </is>
      </c>
      <c r="B9" s="7" t="inlineStr">
        <is>
          <t>YES</t>
        </is>
      </c>
      <c r="C9" s="7" t="inlineStr">
        <is>
          <t>YES</t>
        </is>
      </c>
      <c r="D9" s="7" t="inlineStr">
        <is>
          <t>YES</t>
        </is>
      </c>
      <c r="E9" s="7" t="inlineStr">
        <is>
          <t>YES</t>
        </is>
      </c>
      <c r="F9" s="7" t="inlineStr">
        <is>
          <t>N/A</t>
        </is>
      </c>
      <c r="G9" s="7" t="inlineStr">
        <is>
          <t>YES</t>
        </is>
      </c>
      <c r="H9" s="7" t="inlineStr">
        <is>
          <t>YES</t>
        </is>
      </c>
      <c r="I9" s="7" t="inlineStr">
        <is>
          <t>N/A</t>
        </is>
      </c>
      <c r="J9" s="7" t="inlineStr">
        <is>
          <t>N/A</t>
        </is>
      </c>
      <c r="K9" s="7" t="inlineStr">
        <is>
          <t>Min 3m exclusion zone</t>
        </is>
      </c>
    </row>
    <row r="10">
      <c r="A10" s="5" t="inlineStr">
        <is>
          <t>Fork truck / FLT operations</t>
        </is>
      </c>
      <c r="B10" s="5" t="inlineStr">
        <is>
          <t>YES</t>
        </is>
      </c>
      <c r="C10" s="5" t="inlineStr">
        <is>
          <t>YES</t>
        </is>
      </c>
      <c r="D10" s="5" t="inlineStr">
        <is>
          <t>YES</t>
        </is>
      </c>
      <c r="E10" s="5" t="inlineStr">
        <is>
          <t>N/A</t>
        </is>
      </c>
      <c r="F10" s="5" t="inlineStr">
        <is>
          <t>N/A</t>
        </is>
      </c>
      <c r="G10" s="5" t="inlineStr">
        <is>
          <t>N/A</t>
        </is>
      </c>
      <c r="H10" s="5" t="inlineStr">
        <is>
          <t>YES</t>
        </is>
      </c>
      <c r="I10" s="5" t="inlineStr">
        <is>
          <t>N/A</t>
        </is>
      </c>
      <c r="J10" s="5" t="inlineStr">
        <is>
          <t>N/A</t>
        </is>
      </c>
      <c r="K10" s="5" t="inlineStr">
        <is>
          <t>Banksman required</t>
        </is>
      </c>
    </row>
    <row r="11">
      <c r="A11" s="7" t="inlineStr">
        <is>
          <t>Manual handling</t>
        </is>
      </c>
      <c r="B11" s="7" t="inlineStr">
        <is>
          <t>YES</t>
        </is>
      </c>
      <c r="C11" s="7" t="inlineStr">
        <is>
          <t>YES</t>
        </is>
      </c>
      <c r="D11" s="7" t="inlineStr">
        <is>
          <t>YES</t>
        </is>
      </c>
      <c r="E11" s="7" t="inlineStr">
        <is>
          <t>N/A</t>
        </is>
      </c>
      <c r="F11" s="7" t="inlineStr">
        <is>
          <t>N/A</t>
        </is>
      </c>
      <c r="G11" s="7" t="inlineStr">
        <is>
          <t>N/A</t>
        </is>
      </c>
      <c r="H11" s="7" t="inlineStr">
        <is>
          <t>YES</t>
        </is>
      </c>
      <c r="I11" s="7" t="inlineStr">
        <is>
          <t>N/A</t>
        </is>
      </c>
      <c r="J11" s="7" t="inlineStr">
        <is>
          <t>N/A</t>
        </is>
      </c>
      <c r="K11" s="7" t="inlineStr">
        <is>
          <t>Max 25kg individual</t>
        </is>
      </c>
    </row>
    <row r="12">
      <c r="A12" s="5" t="inlineStr">
        <is>
          <t>Confined space / ceiling voids</t>
        </is>
      </c>
      <c r="B12" s="5" t="inlineStr">
        <is>
          <t>YES</t>
        </is>
      </c>
      <c r="C12" s="5" t="inlineStr">
        <is>
          <t>YES</t>
        </is>
      </c>
      <c r="D12" s="5" t="inlineStr">
        <is>
          <t>YES</t>
        </is>
      </c>
      <c r="E12" s="5" t="inlineStr">
        <is>
          <t>N/A</t>
        </is>
      </c>
      <c r="F12" s="5" t="inlineStr">
        <is>
          <t>As req'd</t>
        </is>
      </c>
      <c r="G12" s="5" t="inlineStr">
        <is>
          <t>As req'd</t>
        </is>
      </c>
      <c r="H12" s="5" t="inlineStr">
        <is>
          <t>YES</t>
        </is>
      </c>
      <c r="I12" s="5" t="inlineStr">
        <is>
          <t>N/A</t>
        </is>
      </c>
      <c r="J12" s="5" t="inlineStr">
        <is>
          <t>N/A</t>
        </is>
      </c>
      <c r="K12" s="5" t="inlineStr">
        <is>
          <t>Permit to Work required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45" customWidth="1" min="1" max="1"/>
    <col width="45" customWidth="1" min="4" max="4"/>
  </cols>
  <sheetData>
    <row r="1">
      <c r="A1" s="8" t="inlineStr">
        <is>
          <t>FESS GROUP Risk Scoring Matrix (LxS)</t>
        </is>
      </c>
    </row>
    <row r="3">
      <c r="A3" s="9" t="inlineStr">
        <is>
          <t>Likelihood (L)</t>
        </is>
      </c>
      <c r="D3" s="9" t="inlineStr">
        <is>
          <t>Severity (S)</t>
        </is>
      </c>
    </row>
    <row r="4">
      <c r="A4" t="inlineStr">
        <is>
          <t>6 = Probable (High)</t>
        </is>
      </c>
      <c r="D4" t="inlineStr">
        <is>
          <t>6 = Fatal/Major</t>
        </is>
      </c>
    </row>
    <row r="5">
      <c r="A5" t="inlineStr">
        <is>
          <t>4 = Possible (Medium)</t>
        </is>
      </c>
      <c r="D5" t="inlineStr">
        <is>
          <t>4 = Sprain/strain/over 3 days</t>
        </is>
      </c>
    </row>
    <row r="6">
      <c r="A6" t="inlineStr">
        <is>
          <t>2 = Remote (Low)</t>
        </is>
      </c>
      <c r="D6" t="inlineStr">
        <is>
          <t>2 = Cuts &amp; Bruises</t>
        </is>
      </c>
    </row>
    <row r="8">
      <c r="A8" s="9" t="inlineStr">
        <is>
          <t>Risk Factor = L x S</t>
        </is>
      </c>
    </row>
    <row r="9">
      <c r="A9" s="10" t="inlineStr">
        <is>
          <t>HIGH RISK &gt; 24 - Eliminate, discuss with manager</t>
        </is>
      </c>
    </row>
    <row r="10">
      <c r="A10" s="11" t="inlineStr">
        <is>
          <t>MEDIUM RISK 12-24 - Reduce risk, change work programme</t>
        </is>
      </c>
    </row>
    <row r="11">
      <c r="A11" s="12" t="inlineStr">
        <is>
          <t>LOW RISK &lt; 12 - Reduce as far as reasonably possible</t>
        </is>
      </c>
    </row>
  </sheetData>
  <mergeCells count="1">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30" customWidth="1" min="1" max="1"/>
    <col width="44" customWidth="1" min="2" max="2"/>
    <col width="30" customWidth="1" min="3" max="3"/>
    <col width="40" customWidth="1" min="4" max="4"/>
  </cols>
  <sheetData>
    <row r="1" ht="26" customHeight="1">
      <c r="A1" s="17" t="inlineStr">
        <is>
          <t>Document Hygiene Issues Found in Existing 22 RAMS</t>
        </is>
      </c>
    </row>
    <row r="2" ht="18" customHeight="1">
      <c r="A2" s="18" t="inlineStr">
        <is>
          <t>Real issues found on review — useful talking points with FESS + direct MySafeOps feature fixes</t>
        </is>
      </c>
    </row>
    <row r="4" ht="32" customHeight="1">
      <c r="A4" s="1" t="inlineStr">
        <is>
          <t>Issue</t>
        </is>
      </c>
      <c r="B4" s="1" t="inlineStr">
        <is>
          <t>Where Found</t>
        </is>
      </c>
      <c r="C4" s="1" t="inlineStr">
        <is>
          <t>Risk</t>
        </is>
      </c>
      <c r="D4" s="1" t="inlineStr">
        <is>
          <t>MySafeOps Fix</t>
        </is>
      </c>
    </row>
    <row r="5">
      <c r="A5" s="2" t="inlineStr">
        <is>
          <t>Nearest hospital field incorrect</t>
        </is>
      </c>
      <c r="B5" s="2" t="inlineStr">
        <is>
          <t>Flixton document lists 'SURREY' as nearest hospital for a Flixton site job — copy-paste error from reused template</t>
        </is>
      </c>
      <c r="C5" s="2" t="inlineStr">
        <is>
          <t>Wrong info in a genuine emergency</t>
        </is>
      </c>
      <c r="D5" s="2" t="inlineStr">
        <is>
          <t>Auto-populate nearest A&amp;E (existing MySafeOps feature — just needs rollout to FESS)</t>
        </is>
      </c>
    </row>
    <row r="6">
      <c r="A6" s="5" t="inlineStr">
        <is>
          <t>Blank template RA rows left in</t>
        </is>
      </c>
      <c r="B6" s="5" t="inlineStr">
        <is>
          <t>Pages 26-30 left as unused placeholders in most documents rather than removed</t>
        </is>
      </c>
      <c r="C6" s="5" t="inlineStr">
        <is>
          <t>Unprofessional appearance in client/HSE audits</t>
        </is>
      </c>
      <c r="D6" s="5" t="inlineStr">
        <is>
          <t>Dynamic RAMS builder only shows populated rows</t>
        </is>
      </c>
    </row>
    <row r="7">
      <c r="A7" s="2" t="inlineStr">
        <is>
          <t>COSHH marked 'NO' with no attachments</t>
        </is>
      </c>
      <c r="B7" s="2" t="inlineStr">
        <is>
          <t>Marked NO across the board despite sealants, threadlocker, lubricants, and Cranswick chemical pipe changeover being in scope</t>
        </is>
      </c>
      <c r="C7" s="2" t="inlineStr">
        <is>
          <t>Genuine compliance gap, not just paperwork</t>
        </is>
      </c>
      <c r="D7" s="2" t="inlineStr">
        <is>
          <t>COSHH register module tied to actual materials used per job</t>
        </is>
      </c>
    </row>
    <row r="8">
      <c r="A8" s="5" t="inlineStr">
        <is>
          <t>SWL sections consistently 'None applicable'</t>
        </is>
      </c>
      <c r="B8" s="5" t="inlineStr">
        <is>
          <t>Marked N/A even on jobs involving machine lifting and FLT work</t>
        </is>
      </c>
      <c r="C8" s="5" t="inlineStr">
        <is>
          <t>Understates real lifting risk</t>
        </is>
      </c>
      <c r="D8" s="5" t="inlineStr">
        <is>
          <t>SWL auto-populated from LOLER lift plan</t>
        </is>
      </c>
    </row>
    <row r="9">
      <c r="A9" s="2" t="inlineStr">
        <is>
          <t>Revision control date errors</t>
        </is>
      </c>
      <c r="B9" s="2" t="inlineStr">
        <is>
          <t>Review-due dates reference wrong year on reused templates</t>
        </is>
      </c>
      <c r="C9" s="2" t="inlineStr">
        <is>
          <t>Documents may be used past their actual review point</t>
        </is>
      </c>
      <c r="D9" s="2" t="inlineStr">
        <is>
          <t>Auto-versioning with system-generated review dates</t>
        </is>
      </c>
    </row>
    <row r="10">
      <c r="A10" s="5" t="inlineStr">
        <is>
          <t>No induction record evidence</t>
        </is>
      </c>
      <c r="B10" s="5" t="inlineStr">
        <is>
          <t>Sign-off sections present, no linked induction record</t>
        </is>
      </c>
      <c r="C10" s="5" t="inlineStr">
        <is>
          <t>Cannot prove site induction occurred</t>
        </is>
      </c>
      <c r="D10" s="5" t="inlineStr">
        <is>
          <t>QR Code Site Induction with digital record per operative</t>
        </is>
      </c>
    </row>
    <row r="11">
      <c r="A11" s="2" t="inlineStr">
        <is>
          <t>No client-side RAMS approval field</t>
        </is>
      </c>
      <c r="B11" s="2" t="inlineStr">
        <is>
          <t>No structured approval/sign-off from client H&amp;S contact</t>
        </is>
      </c>
      <c r="C11" s="2" t="inlineStr">
        <is>
          <t>No audit trail of client review before work started</t>
        </is>
      </c>
      <c r="D11" s="2" t="inlineStr">
        <is>
          <t>Client Portal RAMS approval workflow (existing feature — needs rollout to FESS)</t>
        </is>
      </c>
    </row>
  </sheetData>
  <mergeCells count="2">
    <mergeCell ref="A1:D1"/>
    <mergeCell ref="A2:D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8" customWidth="1" min="1" max="1"/>
    <col width="52" customWidth="1" min="2" max="2"/>
    <col width="30" customWidth="1" min="3" max="3"/>
    <col width="42" customWidth="1" min="4" max="4"/>
  </cols>
  <sheetData>
    <row r="1" ht="26" customHeight="1">
      <c r="A1" s="17" t="inlineStr">
        <is>
          <t>Implementation Roadmap for Cursor</t>
        </is>
      </c>
    </row>
    <row r="2" ht="18" customHeight="1">
      <c r="A2" s="18" t="inlineStr">
        <is>
          <t>Priority-ordered build sequence to close all gaps above</t>
        </is>
      </c>
    </row>
    <row r="4" ht="32" customHeight="1">
      <c r="A4" s="1" t="inlineStr">
        <is>
          <t>Order</t>
        </is>
      </c>
      <c r="B4" s="1" t="inlineStr">
        <is>
          <t>Action</t>
        </is>
      </c>
      <c r="C4" s="1" t="inlineStr">
        <is>
          <t>Sheet Reference</t>
        </is>
      </c>
      <c r="D4" s="1" t="inlineStr">
        <is>
          <t>Outcome</t>
        </is>
      </c>
    </row>
    <row r="5">
      <c r="A5" s="7" t="n">
        <v>1</v>
      </c>
      <c r="B5" s="7" t="inlineStr">
        <is>
          <t>Build Food Factory High-Care Zone Entry RAMS (allergens, foreign body, G&amp;HP, segregation)</t>
        </is>
      </c>
      <c r="C5" s="7" t="inlineStr">
        <is>
          <t>Hazard Gap Register #1-7</t>
        </is>
      </c>
      <c r="D5" s="7" t="inlineStr">
        <is>
          <t>Closes the single biggest client-facing credibility gap</t>
        </is>
      </c>
    </row>
    <row r="6">
      <c r="A6" s="5" t="n">
        <v>2</v>
      </c>
      <c r="B6" s="5" t="inlineStr">
        <is>
          <t>Build Confined Space Entry Permit (full protocol, not narrative)</t>
        </is>
      </c>
      <c r="C6" s="5" t="inlineStr">
        <is>
          <t>Hazard Gap Register #9, Permits Register</t>
        </is>
      </c>
      <c r="D6" s="5" t="inlineStr">
        <is>
          <t>Closes a genuine safety gap, not just paperwork</t>
        </is>
      </c>
    </row>
    <row r="7">
      <c r="A7" s="7" t="n">
        <v>3</v>
      </c>
      <c r="B7" s="7" t="inlineStr">
        <is>
          <t>Build LOLER Lifting Operation RAMS + Lift Plan template</t>
        </is>
      </c>
      <c r="C7" s="7" t="inlineStr">
        <is>
          <t>Hazard Gap Register #13, Services Coverage Map</t>
        </is>
      </c>
      <c r="D7" s="7" t="inlineStr">
        <is>
          <t>Directly supports FESS's Lift and Shift service line</t>
        </is>
      </c>
    </row>
    <row r="8">
      <c r="A8" s="5" t="n">
        <v>4</v>
      </c>
      <c r="B8" s="5" t="inlineStr">
        <is>
          <t>Build Control Panel &amp; Automation Live Working RAMS (incl. arc flash)</t>
        </is>
      </c>
      <c r="C8" s="5" t="inlineStr">
        <is>
          <t>Services Coverage Map — Production Efficiency rows</t>
        </is>
      </c>
      <c r="D8" s="5" t="inlineStr">
        <is>
          <t>Covers a named FESS service line with zero current RAMS</t>
        </is>
      </c>
    </row>
    <row r="9">
      <c r="A9" s="7" t="n">
        <v>5</v>
      </c>
      <c r="B9" s="7" t="inlineStr">
        <is>
          <t>Build Conveyor Installation &amp; Maintenance RAMS (nip-point focus)</t>
        </is>
      </c>
      <c r="C9" s="7" t="inlineStr">
        <is>
          <t>Hazard Gap Register #25</t>
        </is>
      </c>
      <c r="D9" s="7" t="inlineStr">
        <is>
          <t>Covers a named FESS service line, partially touched but underspecified</t>
        </is>
      </c>
    </row>
    <row r="10">
      <c r="A10" s="5" t="n">
        <v>6</v>
      </c>
      <c r="B10" s="5" t="inlineStr">
        <is>
          <t>Roll out Training &amp; Competency register with Permit auto-flag</t>
        </is>
      </c>
      <c r="C10" s="5" t="inlineStr">
        <is>
          <t>Training &amp; Competency sheet</t>
        </is>
      </c>
      <c r="D10" s="5" t="inlineStr">
        <is>
          <t>Stops unqualified operatives being assigned to jobs requiring tickets</t>
        </is>
      </c>
    </row>
    <row r="11">
      <c r="A11" s="7" t="n">
        <v>7</v>
      </c>
      <c r="B11" s="7" t="inlineStr">
        <is>
          <t>Populate COSHH register against real materials used per job</t>
        </is>
      </c>
      <c r="C11" s="7" t="inlineStr">
        <is>
          <t>Document Quality Issues</t>
        </is>
      </c>
      <c r="D11" s="7" t="inlineStr">
        <is>
          <t>Closes a real compliance exposure, currently all marked NO</t>
        </is>
      </c>
    </row>
    <row r="12">
      <c r="A12" s="5" t="n">
        <v>8</v>
      </c>
      <c r="B12" s="5" t="inlineStr">
        <is>
          <t>Roll out nearest-A&amp;E auto-populate across all FESS templates</t>
        </is>
      </c>
      <c r="C12" s="5" t="inlineStr">
        <is>
          <t>Document Quality Issues</t>
        </is>
      </c>
      <c r="D12" s="5" t="inlineStr">
        <is>
          <t>Quick win — feature already exists, just needs applying</t>
        </is>
      </c>
    </row>
    <row r="13">
      <c r="A13" s="7" t="n">
        <v>9</v>
      </c>
      <c r="B13" s="7" t="inlineStr">
        <is>
          <t>Build CDM 2015 role/duty framework module</t>
        </is>
      </c>
      <c r="C13" s="7" t="inlineStr">
        <is>
          <t>Hazard Gap Register #26, Services Coverage Map</t>
        </is>
      </c>
      <c r="D13" s="7" t="inlineStr">
        <is>
          <t>Covers named CDM Services line with zero current framework</t>
        </is>
      </c>
    </row>
    <row r="14">
      <c r="A14" s="5" t="n">
        <v>10</v>
      </c>
      <c r="B14" s="5" t="inlineStr">
        <is>
          <t>Build Petrochemical Hazardous Area + Pharmaceutical Cleanroom RAMS proactively</t>
        </is>
      </c>
      <c r="C14" s="5" t="inlineStr">
        <is>
          <t>Industries Coverage Map</t>
        </is>
      </c>
      <c r="D14" s="5" t="inlineStr">
        <is>
          <t>Needed before FESS starts a job in either vertical, not after</t>
        </is>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3"/>
  <sheetViews>
    <sheetView showGridLines="0" workbookViewId="0">
      <selection activeCell="A1" sqref="A1"/>
    </sheetView>
  </sheetViews>
  <sheetFormatPr baseColWidth="8" defaultRowHeight="15"/>
  <cols>
    <col width="4" customWidth="1" min="1" max="1"/>
    <col width="40" customWidth="1" min="2" max="2"/>
    <col width="18" customWidth="1" min="3" max="3"/>
    <col width="18" customWidth="1" min="4" max="4"/>
    <col width="18" customWidth="1" min="5" max="5"/>
    <col width="35" customWidth="1" min="6" max="6"/>
    <col width="12" customWidth="1" min="7" max="7"/>
    <col width="18" customWidth="1" min="8" max="8"/>
    <col width="22" customWidth="1" min="9" max="9"/>
    <col width="45" customWidth="1" min="10" max="10"/>
  </cols>
  <sheetData>
    <row r="1">
      <c r="A1" s="4" t="inlineStr">
        <is>
          <t>#</t>
        </is>
      </c>
      <c r="B1" s="4" t="inlineStr">
        <is>
          <t>Document Name</t>
        </is>
      </c>
      <c r="C1" s="4" t="inlineStr">
        <is>
          <t>Type</t>
        </is>
      </c>
      <c r="D1" s="4" t="inlineStr">
        <is>
          <t>Client</t>
        </is>
      </c>
      <c r="E1" s="4" t="inlineStr">
        <is>
          <t>Site</t>
        </is>
      </c>
      <c r="F1" s="4" t="inlineStr">
        <is>
          <t>Job Description</t>
        </is>
      </c>
      <c r="G1" s="4" t="inlineStr">
        <is>
          <t>Date</t>
        </is>
      </c>
      <c r="H1" s="4" t="inlineStr">
        <is>
          <t>Prepared By</t>
        </is>
      </c>
      <c r="I1" s="4" t="inlineStr">
        <is>
          <t>Lead Engineer</t>
        </is>
      </c>
      <c r="J1" s="4" t="inlineStr">
        <is>
          <t>Personnel</t>
        </is>
      </c>
    </row>
    <row r="2">
      <c r="A2" s="5" t="n">
        <v>1</v>
      </c>
      <c r="B2" s="5" t="inlineStr">
        <is>
          <t>2SFG_FLIXTON_GRILLE_ME</t>
        </is>
      </c>
      <c r="C2" s="5" t="inlineStr">
        <is>
          <t>Method Statement</t>
        </is>
      </c>
      <c r="D2" s="5" t="inlineStr">
        <is>
          <t>2SFG</t>
        </is>
      </c>
      <c r="E2" s="5" t="inlineStr">
        <is>
          <t>Flixton</t>
        </is>
      </c>
      <c r="F2" s="5" t="inlineStr">
        <is>
          <t>Grills Project M&amp;E Works</t>
        </is>
      </c>
      <c r="G2" s="5" t="inlineStr">
        <is>
          <t>24/02/26</t>
        </is>
      </c>
      <c r="H2" s="5" t="inlineStr">
        <is>
          <t>David Anderson</t>
        </is>
      </c>
      <c r="I2" s="5" t="inlineStr">
        <is>
          <t>Deividas Pamerneckis</t>
        </is>
      </c>
      <c r="J2" s="5" t="inlineStr">
        <is>
          <t>Wiktor Pacanowski, Deividas Pamerneckis, Bronius Masulevicius</t>
        </is>
      </c>
    </row>
    <row r="3">
      <c r="A3" s="6" t="n">
        <v>2</v>
      </c>
      <c r="B3" s="6" t="inlineStr">
        <is>
          <t>2SFG_RA_FLIXTON_GRILLS_M&amp;E</t>
        </is>
      </c>
      <c r="C3" s="6" t="inlineStr">
        <is>
          <t>Risk Assessment</t>
        </is>
      </c>
      <c r="D3" s="6" t="inlineStr">
        <is>
          <t>2SFG</t>
        </is>
      </c>
      <c r="E3" s="6" t="inlineStr">
        <is>
          <t>Flixton</t>
        </is>
      </c>
      <c r="F3" s="6" t="inlineStr">
        <is>
          <t>Grills Project M&amp;E Works</t>
        </is>
      </c>
      <c r="G3" s="6" t="inlineStr">
        <is>
          <t>24/02/26</t>
        </is>
      </c>
      <c r="H3" s="6" t="inlineStr">
        <is>
          <t>D Anderson</t>
        </is>
      </c>
      <c r="I3" s="6" t="inlineStr">
        <is>
          <t>Deividas Pamerneckis</t>
        </is>
      </c>
      <c r="J3" s="6" t="inlineStr">
        <is>
          <t>Wiktor, Deividas, Bronius</t>
        </is>
      </c>
    </row>
    <row r="4">
      <c r="A4" s="5" t="n">
        <v>3</v>
      </c>
      <c r="B4" s="5" t="inlineStr">
        <is>
          <t>2SFG_SCUNTHORPE_FP1_WORKS</t>
        </is>
      </c>
      <c r="C4" s="5" t="inlineStr">
        <is>
          <t>Method Statement</t>
        </is>
      </c>
      <c r="D4" s="5" t="inlineStr">
        <is>
          <t>2SFG</t>
        </is>
      </c>
      <c r="E4" s="5" t="inlineStr">
        <is>
          <t>Scunthorpe</t>
        </is>
      </c>
      <c r="F4" s="5" t="inlineStr">
        <is>
          <t>FP1 Works on Site</t>
        </is>
      </c>
      <c r="G4" s="5" t="inlineStr">
        <is>
          <t>Various</t>
        </is>
      </c>
      <c r="H4" s="5" t="inlineStr">
        <is>
          <t>D Anderson</t>
        </is>
      </c>
      <c r="I4" s="5" t="inlineStr">
        <is>
          <t>-</t>
        </is>
      </c>
      <c r="J4" s="5" t="inlineStr">
        <is>
          <t>-</t>
        </is>
      </c>
    </row>
    <row r="5">
      <c r="A5" s="6" t="n">
        <v>4</v>
      </c>
      <c r="B5" s="6" t="inlineStr">
        <is>
          <t>2SFG_SCUNTHORPE_TANK_RELOCATION</t>
        </is>
      </c>
      <c r="C5" s="6" t="inlineStr">
        <is>
          <t>Method Statement</t>
        </is>
      </c>
      <c r="D5" s="6" t="inlineStr">
        <is>
          <t>2SFG</t>
        </is>
      </c>
      <c r="E5" s="6" t="inlineStr">
        <is>
          <t>Scunthorpe</t>
        </is>
      </c>
      <c r="F5" s="6" t="inlineStr">
        <is>
          <t>Tank Relocation</t>
        </is>
      </c>
      <c r="G5" s="6" t="inlineStr">
        <is>
          <t>Various</t>
        </is>
      </c>
      <c r="H5" s="6" t="inlineStr">
        <is>
          <t>D Anderson</t>
        </is>
      </c>
      <c r="I5" s="6" t="inlineStr">
        <is>
          <t>-</t>
        </is>
      </c>
      <c r="J5" s="6" t="inlineStr">
        <is>
          <t>-</t>
        </is>
      </c>
    </row>
    <row r="6">
      <c r="A6" s="5" t="n">
        <v>5</v>
      </c>
      <c r="B6" s="5" t="inlineStr">
        <is>
          <t>2SFG_SCUNTHORPE_DOLAV_STATIONS</t>
        </is>
      </c>
      <c r="C6" s="5" t="inlineStr">
        <is>
          <t>Method Statement</t>
        </is>
      </c>
      <c r="D6" s="5" t="inlineStr">
        <is>
          <t>2SFG</t>
        </is>
      </c>
      <c r="E6" s="5" t="inlineStr">
        <is>
          <t>Scunthorpe</t>
        </is>
      </c>
      <c r="F6" s="5" t="inlineStr">
        <is>
          <t>Dolav Stations and Meyn Works</t>
        </is>
      </c>
      <c r="G6" s="5" t="inlineStr">
        <is>
          <t>Various</t>
        </is>
      </c>
      <c r="H6" s="5" t="inlineStr">
        <is>
          <t>D Anderson</t>
        </is>
      </c>
      <c r="I6" s="5" t="inlineStr">
        <is>
          <t>-</t>
        </is>
      </c>
      <c r="J6" s="5" t="inlineStr">
        <is>
          <t>-</t>
        </is>
      </c>
    </row>
    <row r="7">
      <c r="A7" s="6" t="n">
        <v>6</v>
      </c>
      <c r="B7" s="6" t="inlineStr">
        <is>
          <t>2SFG_SCUNTHORPE_MEYN_AND_DOLAV</t>
        </is>
      </c>
      <c r="C7" s="6" t="inlineStr">
        <is>
          <t>Method Statement</t>
        </is>
      </c>
      <c r="D7" s="6" t="inlineStr">
        <is>
          <t>2SFG</t>
        </is>
      </c>
      <c r="E7" s="6" t="inlineStr">
        <is>
          <t>Scunthorpe</t>
        </is>
      </c>
      <c r="F7" s="6" t="inlineStr">
        <is>
          <t>Meyn and Dolav Station Works</t>
        </is>
      </c>
      <c r="G7" s="6" t="inlineStr">
        <is>
          <t>Various</t>
        </is>
      </c>
      <c r="H7" s="6" t="inlineStr">
        <is>
          <t>D Anderson</t>
        </is>
      </c>
      <c r="I7" s="6" t="inlineStr">
        <is>
          <t>-</t>
        </is>
      </c>
      <c r="J7" s="6" t="inlineStr">
        <is>
          <t>-</t>
        </is>
      </c>
    </row>
    <row r="8">
      <c r="A8" s="5" t="n">
        <v>7</v>
      </c>
      <c r="B8" s="5" t="inlineStr">
        <is>
          <t>2SFG_SCUNTHORPE_RO_ROOM_WORKS</t>
        </is>
      </c>
      <c r="C8" s="5" t="inlineStr">
        <is>
          <t>Method Statement</t>
        </is>
      </c>
      <c r="D8" s="5" t="inlineStr">
        <is>
          <t>2SFG</t>
        </is>
      </c>
      <c r="E8" s="5" t="inlineStr">
        <is>
          <t>Scunthorpe</t>
        </is>
      </c>
      <c r="F8" s="5" t="inlineStr">
        <is>
          <t>RO Room Works</t>
        </is>
      </c>
      <c r="G8" s="5" t="inlineStr">
        <is>
          <t>Various</t>
        </is>
      </c>
      <c r="H8" s="5" t="inlineStr">
        <is>
          <t>D Anderson</t>
        </is>
      </c>
      <c r="I8" s="5" t="inlineStr">
        <is>
          <t>-</t>
        </is>
      </c>
      <c r="J8" s="5" t="inlineStr">
        <is>
          <t>-</t>
        </is>
      </c>
    </row>
    <row r="9">
      <c r="A9" s="6" t="n">
        <v>8</v>
      </c>
      <c r="B9" s="6" t="inlineStr">
        <is>
          <t>2SFG_SCUNTHORPE_RO_INSTALLATION</t>
        </is>
      </c>
      <c r="C9" s="6" t="inlineStr">
        <is>
          <t>Method Statement</t>
        </is>
      </c>
      <c r="D9" s="6" t="inlineStr">
        <is>
          <t>2SFG</t>
        </is>
      </c>
      <c r="E9" s="6" t="inlineStr">
        <is>
          <t>Scunthorpe</t>
        </is>
      </c>
      <c r="F9" s="6" t="inlineStr">
        <is>
          <t>RO Installation</t>
        </is>
      </c>
      <c r="G9" s="6" t="inlineStr">
        <is>
          <t>Various</t>
        </is>
      </c>
      <c r="H9" s="6" t="inlineStr">
        <is>
          <t>D Anderson</t>
        </is>
      </c>
      <c r="I9" s="6" t="inlineStr">
        <is>
          <t>-</t>
        </is>
      </c>
      <c r="J9" s="6" t="inlineStr">
        <is>
          <t>-</t>
        </is>
      </c>
    </row>
    <row r="10">
      <c r="A10" s="5" t="n">
        <v>9</v>
      </c>
      <c r="B10" s="5" t="inlineStr">
        <is>
          <t>2SFG_SCUNTHORPE_KETTLETANK_REMOVAL</t>
        </is>
      </c>
      <c r="C10" s="5" t="inlineStr">
        <is>
          <t>Method Statement</t>
        </is>
      </c>
      <c r="D10" s="5" t="inlineStr">
        <is>
          <t>2SFG</t>
        </is>
      </c>
      <c r="E10" s="5" t="inlineStr">
        <is>
          <t>Scunthorpe</t>
        </is>
      </c>
      <c r="F10" s="5" t="inlineStr">
        <is>
          <t>Kettletank Removal</t>
        </is>
      </c>
      <c r="G10" s="5" t="inlineStr">
        <is>
          <t>Various</t>
        </is>
      </c>
      <c r="H10" s="5" t="inlineStr">
        <is>
          <t>D Anderson</t>
        </is>
      </c>
      <c r="I10" s="5" t="inlineStr">
        <is>
          <t>-</t>
        </is>
      </c>
      <c r="J10" s="5" t="inlineStr">
        <is>
          <t>-</t>
        </is>
      </c>
    </row>
    <row r="11">
      <c r="A11" s="6" t="n">
        <v>10</v>
      </c>
      <c r="B11" s="6" t="inlineStr">
        <is>
          <t>2SFG_SCUNTHORPE_VARIOUS_SUPPLIES</t>
        </is>
      </c>
      <c r="C11" s="6" t="inlineStr">
        <is>
          <t>Method Statement</t>
        </is>
      </c>
      <c r="D11" s="6" t="inlineStr">
        <is>
          <t>2SFG</t>
        </is>
      </c>
      <c r="E11" s="6" t="inlineStr">
        <is>
          <t>Scunthorpe</t>
        </is>
      </c>
      <c r="F11" s="6" t="inlineStr">
        <is>
          <t>Various Supplies</t>
        </is>
      </c>
      <c r="G11" s="6" t="inlineStr">
        <is>
          <t>Various</t>
        </is>
      </c>
      <c r="H11" s="6" t="inlineStr">
        <is>
          <t>D Anderson</t>
        </is>
      </c>
      <c r="I11" s="6" t="inlineStr">
        <is>
          <t>-</t>
        </is>
      </c>
      <c r="J11" s="6" t="inlineStr">
        <is>
          <t>-</t>
        </is>
      </c>
    </row>
    <row r="12">
      <c r="A12" s="5" t="n">
        <v>11</v>
      </c>
      <c r="B12" s="5" t="inlineStr">
        <is>
          <t>BUTTERNUT_BOX_INSTALLATION_251125</t>
        </is>
      </c>
      <c r="C12" s="5" t="inlineStr">
        <is>
          <t>Method Statement</t>
        </is>
      </c>
      <c r="D12" s="5" t="inlineStr">
        <is>
          <t>Butternut Box</t>
        </is>
      </c>
      <c r="E12" s="5" t="inlineStr">
        <is>
          <t>Butternut Box</t>
        </is>
      </c>
      <c r="F12" s="5" t="inlineStr">
        <is>
          <t>Installation of equipment</t>
        </is>
      </c>
      <c r="G12" s="5" t="inlineStr">
        <is>
          <t>25/11/25</t>
        </is>
      </c>
      <c r="H12" s="5" t="inlineStr">
        <is>
          <t>D Anderson</t>
        </is>
      </c>
      <c r="I12" s="5" t="inlineStr">
        <is>
          <t>Bartek Kwapisz</t>
        </is>
      </c>
      <c r="J12" s="5" t="inlineStr">
        <is>
          <t>Bartek, Mateusz, Deividas, Bronius, Wiktor</t>
        </is>
      </c>
    </row>
    <row r="13">
      <c r="A13" s="6" t="n">
        <v>12</v>
      </c>
      <c r="B13" s="6" t="inlineStr">
        <is>
          <t>RA_BUTTERNUT_BOX_VARIOVAC</t>
        </is>
      </c>
      <c r="C13" s="6" t="inlineStr">
        <is>
          <t>Risk Assessment</t>
        </is>
      </c>
      <c r="D13" s="6" t="inlineStr">
        <is>
          <t>Butternut Box</t>
        </is>
      </c>
      <c r="E13" s="6" t="inlineStr">
        <is>
          <t>Butternut Box</t>
        </is>
      </c>
      <c r="F13" s="6" t="inlineStr">
        <is>
          <t>Installation of 1x Variovac Machine</t>
        </is>
      </c>
      <c r="G13" s="6" t="inlineStr">
        <is>
          <t>25/11/25</t>
        </is>
      </c>
      <c r="H13" s="6" t="inlineStr">
        <is>
          <t>D Anderson</t>
        </is>
      </c>
      <c r="I13" s="6" t="inlineStr">
        <is>
          <t>Bartek Kwapisz</t>
        </is>
      </c>
      <c r="J13" s="6" t="inlineStr">
        <is>
          <t>Bartek, Mateusz, Deividas, Bronius, Wiktor</t>
        </is>
      </c>
    </row>
    <row r="14">
      <c r="A14" s="5" t="n">
        <v>13</v>
      </c>
      <c r="B14" s="5" t="inlineStr">
        <is>
          <t>BUTTERNUT_BOX_SPIRAL_CONVEYOR_CALLOUT</t>
        </is>
      </c>
      <c r="C14" s="5" t="inlineStr">
        <is>
          <t>Method Statement</t>
        </is>
      </c>
      <c r="D14" s="5" t="inlineStr">
        <is>
          <t>Butternut Box</t>
        </is>
      </c>
      <c r="E14" s="5" t="inlineStr">
        <is>
          <t>Butternut Box</t>
        </is>
      </c>
      <c r="F14" s="5" t="inlineStr">
        <is>
          <t>Spiral Conveyor Callout Works</t>
        </is>
      </c>
      <c r="G14" s="5" t="inlineStr">
        <is>
          <t>Various</t>
        </is>
      </c>
      <c r="H14" s="5" t="inlineStr">
        <is>
          <t>D Anderson</t>
        </is>
      </c>
      <c r="I14" s="5" t="inlineStr">
        <is>
          <t>Bartek Kwapisz</t>
        </is>
      </c>
      <c r="J14" s="5" t="inlineStr">
        <is>
          <t>-</t>
        </is>
      </c>
    </row>
    <row r="15">
      <c r="A15" s="6" t="n">
        <v>14</v>
      </c>
      <c r="B15" s="6" t="inlineStr">
        <is>
          <t>RA_BUTTERNUT_BOX_SPIRAL_CONVEYOR</t>
        </is>
      </c>
      <c r="C15" s="6" t="inlineStr">
        <is>
          <t>Risk Assessment</t>
        </is>
      </c>
      <c r="D15" s="6" t="inlineStr">
        <is>
          <t>Butternut Box</t>
        </is>
      </c>
      <c r="E15" s="6" t="inlineStr">
        <is>
          <t>Butternut Box</t>
        </is>
      </c>
      <c r="F15" s="6" t="inlineStr">
        <is>
          <t>Spiral Conveyor Drive Shaft Repair</t>
        </is>
      </c>
      <c r="G15" s="6" t="inlineStr">
        <is>
          <t>27/09/25</t>
        </is>
      </c>
      <c r="H15" s="6" t="inlineStr">
        <is>
          <t>D Anderson</t>
        </is>
      </c>
      <c r="I15" s="6" t="inlineStr">
        <is>
          <t>Bartek Kwapisz</t>
        </is>
      </c>
      <c r="J15" s="6" t="inlineStr">
        <is>
          <t>Bartek, Mateusz, Deividas, Bronius, Wiktor, Maciej Pokladecki</t>
        </is>
      </c>
    </row>
    <row r="16">
      <c r="A16" s="5" t="n">
        <v>15</v>
      </c>
      <c r="B16" s="5" t="inlineStr">
        <is>
          <t>DOVECOAT_PARK_MACHINE_PLACEMENT_130626</t>
        </is>
      </c>
      <c r="C16" s="5" t="inlineStr">
        <is>
          <t>Method Statement</t>
        </is>
      </c>
      <c r="D16" s="5" t="inlineStr">
        <is>
          <t>Dovecoat Park</t>
        </is>
      </c>
      <c r="E16" s="5" t="inlineStr">
        <is>
          <t>Dovecoat Park</t>
        </is>
      </c>
      <c r="F16" s="5" t="inlineStr">
        <is>
          <t>Machine Placement</t>
        </is>
      </c>
      <c r="G16" s="5" t="inlineStr">
        <is>
          <t>13/06/26</t>
        </is>
      </c>
      <c r="H16" s="5" t="inlineStr">
        <is>
          <t>D Anderson</t>
        </is>
      </c>
      <c r="I16" s="5" t="inlineStr">
        <is>
          <t>-</t>
        </is>
      </c>
      <c r="J16" s="5" t="inlineStr">
        <is>
          <t>-</t>
        </is>
      </c>
    </row>
    <row r="17">
      <c r="A17" s="6" t="n">
        <v>16</v>
      </c>
      <c r="B17" s="6" t="inlineStr">
        <is>
          <t>DOVECOAT_PARK_MACHINE_PLACEMENT_140326</t>
        </is>
      </c>
      <c r="C17" s="6" t="inlineStr">
        <is>
          <t>Method Statement</t>
        </is>
      </c>
      <c r="D17" s="6" t="inlineStr">
        <is>
          <t>Dovecoat Park</t>
        </is>
      </c>
      <c r="E17" s="6" t="inlineStr">
        <is>
          <t>Dovecoat Park</t>
        </is>
      </c>
      <c r="F17" s="6" t="inlineStr">
        <is>
          <t>Machine Placement</t>
        </is>
      </c>
      <c r="G17" s="6" t="inlineStr">
        <is>
          <t>14/03/26</t>
        </is>
      </c>
      <c r="H17" s="6" t="inlineStr">
        <is>
          <t>D Anderson</t>
        </is>
      </c>
      <c r="I17" s="6" t="inlineStr">
        <is>
          <t>-</t>
        </is>
      </c>
      <c r="J17" s="6" t="inlineStr">
        <is>
          <t>-</t>
        </is>
      </c>
    </row>
    <row r="18">
      <c r="A18" s="5" t="n">
        <v>17</v>
      </c>
      <c r="B18" s="5" t="inlineStr">
        <is>
          <t>DOVECOAT_PARK_MACHINE_INSTALLATION_140226</t>
        </is>
      </c>
      <c r="C18" s="5" t="inlineStr">
        <is>
          <t>Method Statement</t>
        </is>
      </c>
      <c r="D18" s="5" t="inlineStr">
        <is>
          <t>Dovecoat Park</t>
        </is>
      </c>
      <c r="E18" s="5" t="inlineStr">
        <is>
          <t>Dovecoat Park</t>
        </is>
      </c>
      <c r="F18" s="5" t="inlineStr">
        <is>
          <t>Machine Installation</t>
        </is>
      </c>
      <c r="G18" s="5" t="inlineStr">
        <is>
          <t>14/02/26</t>
        </is>
      </c>
      <c r="H18" s="5" t="inlineStr">
        <is>
          <t>D Anderson</t>
        </is>
      </c>
      <c r="I18" s="5" t="inlineStr">
        <is>
          <t>-</t>
        </is>
      </c>
      <c r="J18" s="5" t="inlineStr">
        <is>
          <t>-</t>
        </is>
      </c>
    </row>
    <row r="19">
      <c r="A19" s="6" t="n">
        <v>18</v>
      </c>
      <c r="B19" s="6" t="inlineStr">
        <is>
          <t>DOVECOAT_PARK_MACHINE_INSTALLATION_140326</t>
        </is>
      </c>
      <c r="C19" s="6" t="inlineStr">
        <is>
          <t>Method Statement</t>
        </is>
      </c>
      <c r="D19" s="6" t="inlineStr">
        <is>
          <t>Dovecoat Park</t>
        </is>
      </c>
      <c r="E19" s="6" t="inlineStr">
        <is>
          <t>Dovecoat Park</t>
        </is>
      </c>
      <c r="F19" s="6" t="inlineStr">
        <is>
          <t>Machine Installation</t>
        </is>
      </c>
      <c r="G19" s="6" t="inlineStr">
        <is>
          <t>14/03/26</t>
        </is>
      </c>
      <c r="H19" s="6" t="inlineStr">
        <is>
          <t>D Anderson</t>
        </is>
      </c>
      <c r="I19" s="6" t="inlineStr">
        <is>
          <t>-</t>
        </is>
      </c>
      <c r="J19" s="6" t="inlineStr">
        <is>
          <t>-</t>
        </is>
      </c>
    </row>
    <row r="20">
      <c r="A20" s="5" t="n">
        <v>19</v>
      </c>
      <c r="B20" s="5" t="inlineStr">
        <is>
          <t>FOODCLEAN_LAZENBY_PIPE_CHANGEOVER</t>
        </is>
      </c>
      <c r="C20" s="5" t="inlineStr">
        <is>
          <t>Method Statement</t>
        </is>
      </c>
      <c r="D20" s="5" t="inlineStr">
        <is>
          <t>Cranswick Foods</t>
        </is>
      </c>
      <c r="E20" s="5" t="inlineStr">
        <is>
          <t>Lazenby</t>
        </is>
      </c>
      <c r="F20" s="5" t="inlineStr">
        <is>
          <t>Chemical Pipe Changeover</t>
        </is>
      </c>
      <c r="G20" s="5" t="inlineStr">
        <is>
          <t>04/02/26</t>
        </is>
      </c>
      <c r="H20" s="5" t="inlineStr">
        <is>
          <t>D Anderson</t>
        </is>
      </c>
      <c r="I20" s="5" t="inlineStr">
        <is>
          <t>Deividas Pamerneckis</t>
        </is>
      </c>
      <c r="J20" s="5" t="inlineStr">
        <is>
          <t>-</t>
        </is>
      </c>
    </row>
    <row r="21">
      <c r="A21" s="6" t="n">
        <v>20</v>
      </c>
      <c r="B21" s="6" t="inlineStr">
        <is>
          <t>RA_CRANSWICK_LAZENBY_PIPE</t>
        </is>
      </c>
      <c r="C21" s="6" t="inlineStr">
        <is>
          <t>Risk Assessment</t>
        </is>
      </c>
      <c r="D21" s="6" t="inlineStr">
        <is>
          <t>Cranswick Foods</t>
        </is>
      </c>
      <c r="E21" s="6" t="inlineStr">
        <is>
          <t>Lazenby</t>
        </is>
      </c>
      <c r="F21" s="6" t="inlineStr">
        <is>
          <t>Changing over chemical pipes on site</t>
        </is>
      </c>
      <c r="G21" s="6" t="inlineStr">
        <is>
          <t>04/02/26</t>
        </is>
      </c>
      <c r="H21" s="6" t="inlineStr">
        <is>
          <t>D Anderson</t>
        </is>
      </c>
      <c r="I21" s="6" t="inlineStr">
        <is>
          <t>Deividas Pamerneckis</t>
        </is>
      </c>
      <c r="J21" s="6" t="inlineStr">
        <is>
          <t>-</t>
        </is>
      </c>
    </row>
    <row r="22">
      <c r="A22" s="5" t="n">
        <v>21</v>
      </c>
      <c r="B22" s="5" t="inlineStr">
        <is>
          <t>QUORN_UNISTRUT_PIPE_SUPPORT</t>
        </is>
      </c>
      <c r="C22" s="5" t="inlineStr">
        <is>
          <t>Method Statement</t>
        </is>
      </c>
      <c r="D22" s="5" t="inlineStr">
        <is>
          <t>Quorn</t>
        </is>
      </c>
      <c r="E22" s="5" t="inlineStr">
        <is>
          <t>Quorn</t>
        </is>
      </c>
      <c r="F22" s="5" t="inlineStr">
        <is>
          <t>Unistrut Pipe Support Frame</t>
        </is>
      </c>
      <c r="G22" s="5" t="inlineStr">
        <is>
          <t>Various</t>
        </is>
      </c>
      <c r="H22" s="5" t="inlineStr">
        <is>
          <t>D Anderson</t>
        </is>
      </c>
      <c r="I22" s="5" t="inlineStr">
        <is>
          <t>-</t>
        </is>
      </c>
      <c r="J22" s="5" t="inlineStr">
        <is>
          <t>-</t>
        </is>
      </c>
    </row>
    <row r="23">
      <c r="A23" s="6" t="n">
        <v>22</v>
      </c>
      <c r="B23" s="6" t="inlineStr">
        <is>
          <t>QUORN_WATER_PIPE_WORK_EVAP_TOWER</t>
        </is>
      </c>
      <c r="C23" s="6" t="inlineStr">
        <is>
          <t>Method Statement</t>
        </is>
      </c>
      <c r="D23" s="6" t="inlineStr">
        <is>
          <t>Quorn</t>
        </is>
      </c>
      <c r="E23" s="6" t="inlineStr">
        <is>
          <t>Quorn</t>
        </is>
      </c>
      <c r="F23" s="6" t="inlineStr">
        <is>
          <t>Water Pipe Work Support Evap Tower</t>
        </is>
      </c>
      <c r="G23" s="6" t="inlineStr">
        <is>
          <t>Various</t>
        </is>
      </c>
      <c r="H23" s="6" t="inlineStr">
        <is>
          <t>D Anderson</t>
        </is>
      </c>
      <c r="I23" s="6" t="inlineStr">
        <is>
          <t>-</t>
        </is>
      </c>
      <c r="J23"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2026-07-02T10:43:28Z</dcterms:created>
  <dcterms:modified xmlns:dcterms="http://purl.org/dc/terms/" xmlns:xsi="http://www.w3.org/2001/XMLSchema-instance" xsi:type="dcterms:W3CDTF">2026-07-02T16:01:52Z</dcterms:modified>
</cp:coreProperties>
</file>